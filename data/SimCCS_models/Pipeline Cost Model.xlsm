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/>
  <workbookPr filterPrivacy="1" codeName="ThisWorkbook" defaultThemeVersion="124226"/>
  <xr:revisionPtr revIDLastSave="0" documentId="13_ncr:1_{EE8E9662-E1D7-4613-8BD1-E6923F1D00F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FCNF-Solver Cost Model" sheetId="18" r:id="rId1"/>
    <sheet name="Data Before Annualizing" sheetId="16" r:id="rId2"/>
    <sheet name="SimCCS Pipeline Model" sheetId="14" r:id="rId3"/>
  </sheets>
  <externalReferences>
    <externalReference r:id="rId4"/>
    <externalReference r:id="rId5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769</definedName>
    <definedName name="_AtRisk_SimSetting_SimNameCount" hidden="1">0</definedName>
    <definedName name="_AtRisk_SimSetting_SmartSensitivityAnalysisEnabled" hidden="1">TRUE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AboveSeal_Depth">'[1]Geo-Activity Interaction'!$E$61</definedName>
    <definedName name="AboveSeal_Depth_Units">'[1]Geo-Activity Interaction'!$F$61</definedName>
    <definedName name="_xlnm.Database">#REF!</definedName>
    <definedName name="Engineer_Rate">[1]Activity_Inputs!$E$10</definedName>
    <definedName name="Engineer_Rate_Units">[1]Activity_Inputs!$F$10</definedName>
    <definedName name="Field_Rate">[1]Activity_Inputs!$E$12</definedName>
    <definedName name="Field_Rate_Units">[1]Activity_Inputs!$F$12</definedName>
    <definedName name="Geologist_Rate">[1]Activity_Inputs!$E$9</definedName>
    <definedName name="Geologist_Rate_Units">[1]Activity_Inputs!$F$9</definedName>
    <definedName name="Groundwater_Depth">'[1]Geo-Activity Interaction'!$E$62</definedName>
    <definedName name="Groundwater_Depth_Units">'[1]Geo-Activity Interaction'!$F$62</definedName>
    <definedName name="Injection_Depth">'[1]Geo-Activity Interaction'!$E$58</definedName>
    <definedName name="Injection_Depth_Units">'[1]Geo-Activity Interaction'!$F$58</definedName>
    <definedName name="InReservoir_Depth">'[1]Geo-Activity Interaction'!$E$60</definedName>
    <definedName name="InReservoir_Depth_Units">'[1]Geo-Activity Interaction'!$F$60</definedName>
    <definedName name="L_PL">'[2]Eng Mod'!$D$16</definedName>
    <definedName name="Landman_Rate">[1]Activity_Inputs!$E$11</definedName>
    <definedName name="Landman_Rate_Units">[1]Activity_Inputs!$F$11</definedName>
    <definedName name="Len_PL_U">'[2]Eng Mod'!$E$16</definedName>
    <definedName name="n_pumps">'[2]Eng Mod'!$D$22</definedName>
    <definedName name="P_in">'[2]Eng Mod'!$D$17</definedName>
    <definedName name="P_out">'[2]Eng Mod'!$D$18</definedName>
    <definedName name="PL_d">'[2]Eng Mod'!$G$48</definedName>
    <definedName name="Pr_units">'[2]Eng Mod'!$E$17</definedName>
    <definedName name="pump_power">'[2]Eng Mod'!$D$51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NumIterations" hidden="1">100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trat_Depth">'[1]Geo-Activity Interaction'!$E$57</definedName>
    <definedName name="Strat_Depth_Units">'[1]Geo-Activity Interaction'!$F$57</definedName>
    <definedName name="T_Pipeline">'[2]Eng Mod'!$D$13</definedName>
    <definedName name="T_Pipeline_U">'[2]Eng Mod'!$E$13</definedName>
    <definedName name="VadoseZone_Depth">'[1]Geo-Activity Interaction'!$E$63</definedName>
    <definedName name="VadoseZone_Depth_Units">'[1]Geo-Activity Interaction'!$F$63</definedName>
    <definedName name="WaterDisposal_Depth">'[1]Geo-Activity Interaction'!$E$66</definedName>
    <definedName name="WaterDisposal_Depth_Units">'[1]Geo-Activity Interaction'!$F$66</definedName>
    <definedName name="WaterProduction_Depth">'[1]Geo-Activity Interaction'!$E$65</definedName>
    <definedName name="WaterProduction_Depth_Units">'[1]Geo-Activity Interaction'!$F$65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8" l="1"/>
  <c r="F5" i="18"/>
  <c r="F6" i="18"/>
  <c r="F7" i="18"/>
  <c r="F8" i="18"/>
  <c r="F9" i="18"/>
  <c r="F10" i="18"/>
  <c r="F11" i="18"/>
  <c r="F12" i="18"/>
  <c r="F13" i="18"/>
  <c r="F3" i="18"/>
  <c r="E4" i="18"/>
  <c r="E5" i="18"/>
  <c r="E6" i="18"/>
  <c r="E7" i="18"/>
  <c r="E8" i="18"/>
  <c r="E9" i="18"/>
  <c r="E10" i="18"/>
  <c r="E11" i="18"/>
  <c r="E12" i="18"/>
  <c r="E13" i="18"/>
  <c r="E3" i="18"/>
  <c r="L22" i="14"/>
  <c r="K22" i="14"/>
  <c r="L23" i="14"/>
  <c r="L24" i="14"/>
  <c r="L25" i="14"/>
  <c r="L26" i="14"/>
  <c r="L27" i="14"/>
  <c r="L28" i="14"/>
  <c r="L29" i="14"/>
  <c r="L30" i="14"/>
  <c r="L31" i="14"/>
  <c r="L32" i="14"/>
  <c r="K23" i="14"/>
  <c r="K24" i="14"/>
  <c r="K25" i="14"/>
  <c r="K26" i="14"/>
  <c r="K27" i="14"/>
  <c r="K28" i="14"/>
  <c r="K29" i="14"/>
  <c r="K30" i="14"/>
  <c r="K31" i="14"/>
  <c r="K32" i="14"/>
  <c r="G38" i="14"/>
  <c r="F38" i="14"/>
  <c r="E38" i="14"/>
  <c r="K38" i="14" s="1"/>
  <c r="G37" i="14"/>
  <c r="F37" i="14"/>
  <c r="E37" i="14"/>
  <c r="K37" i="14" s="1"/>
  <c r="I35" i="14"/>
  <c r="I34" i="14"/>
  <c r="I33" i="14"/>
  <c r="J32" i="14"/>
  <c r="J31" i="14"/>
  <c r="J30" i="14"/>
  <c r="J29" i="14"/>
  <c r="J28" i="14"/>
  <c r="J27" i="14"/>
  <c r="J26" i="14"/>
  <c r="J25" i="14"/>
  <c r="J24" i="14"/>
  <c r="J23" i="14"/>
  <c r="J22" i="14"/>
  <c r="J33" i="14" l="1"/>
  <c r="J35" i="14"/>
  <c r="I38" i="14"/>
  <c r="J34" i="14"/>
  <c r="I37" i="14"/>
</calcChain>
</file>

<file path=xl/sharedStrings.xml><?xml version="1.0" encoding="utf-8"?>
<sst xmlns="http://schemas.openxmlformats.org/spreadsheetml/2006/main" count="112" uniqueCount="86">
  <si>
    <t>ID</t>
  </si>
  <si>
    <t>-</t>
  </si>
  <si>
    <t>Scenario #1</t>
  </si>
  <si>
    <t>Assumptions</t>
  </si>
  <si>
    <t>Value</t>
  </si>
  <si>
    <t>Comments</t>
  </si>
  <si>
    <t>Reference</t>
  </si>
  <si>
    <t>Segment length:</t>
  </si>
  <si>
    <t>80 km (50 miles)</t>
  </si>
  <si>
    <t>Typical modeled segment length.</t>
  </si>
  <si>
    <t>Elkamel, Ali, Basil Khan, Emmanuel Ikhile, Manuel Tejeda, Mosopefoluwa Cole, Alaa Alalawi, and Hesham Alhumade. "Design and Optimization of a CO2 Pipeline Network for the Province of Alberta."</t>
  </si>
  <si>
    <t>Segment inlet pressure:</t>
  </si>
  <si>
    <t>15 Mpa (2175 psi)</t>
  </si>
  <si>
    <t>Max allowable pressure drop over 80 km.</t>
  </si>
  <si>
    <t>Segment outlet pressure:</t>
  </si>
  <si>
    <t>8.6 Mpa (1250 psi)</t>
  </si>
  <si>
    <t>Pumps per 100 miles:</t>
  </si>
  <si>
    <t>Construction cost model:</t>
  </si>
  <si>
    <t>PARKER</t>
  </si>
  <si>
    <t>Expert opinion (National Petroleum Council).</t>
  </si>
  <si>
    <t>Parker, N., 2004. "Using Natural Gas Transmission Pipeline Costs to Estimate Hydrogen Pipeline Costs", UCD-ITS-RR-04-35, Institute of Transportation Studies, UC Davis.</t>
  </si>
  <si>
    <t>Region:</t>
  </si>
  <si>
    <t>MW (Midwest)</t>
  </si>
  <si>
    <t>PARKER doesn't have regional cost differences.</t>
  </si>
  <si>
    <t>Pipeline capacity factor:</t>
  </si>
  <si>
    <t>0.8 capacity factor aligns with industry standard and original MIT work.</t>
  </si>
  <si>
    <t>Capital Charge Factor:</t>
  </si>
  <si>
    <t>Typical CCF for industry.</t>
  </si>
  <si>
    <r>
      <t>CO</t>
    </r>
    <r>
      <rPr>
        <b/>
        <vertAlign val="subscript"/>
        <sz val="10"/>
        <color indexed="9"/>
        <rFont val="Garamond"/>
        <family val="1"/>
      </rPr>
      <t>2</t>
    </r>
    <r>
      <rPr>
        <b/>
        <sz val="10"/>
        <color indexed="9"/>
        <rFont val="Garamond"/>
        <family val="1"/>
      </rPr>
      <t xml:space="preserve"> flow</t>
    </r>
  </si>
  <si>
    <t>Pipeline diameter</t>
  </si>
  <si>
    <t>Capital cost</t>
  </si>
  <si>
    <t>O&amp;M cost</t>
  </si>
  <si>
    <t>Estimated total cost</t>
  </si>
  <si>
    <r>
      <rPr>
        <b/>
        <i/>
        <sz val="10"/>
        <color indexed="9"/>
        <rFont val="Garamond"/>
        <family val="1"/>
      </rPr>
      <t>SimCCS</t>
    </r>
    <r>
      <rPr>
        <b/>
        <sz val="10"/>
        <color indexed="9"/>
        <rFont val="Garamond"/>
        <family val="1"/>
      </rPr>
      <t xml:space="preserve"> estimate</t>
    </r>
  </si>
  <si>
    <t>Error</t>
  </si>
  <si>
    <t>Absolute error</t>
  </si>
  <si>
    <r>
      <t>MtCO</t>
    </r>
    <r>
      <rPr>
        <b/>
        <vertAlign val="subscript"/>
        <sz val="9"/>
        <color indexed="9"/>
        <rFont val="Garamond"/>
        <family val="1"/>
      </rPr>
      <t>2</t>
    </r>
    <r>
      <rPr>
        <b/>
        <sz val="9"/>
        <color indexed="9"/>
        <rFont val="Garamond"/>
        <family val="1"/>
      </rPr>
      <t>/yr</t>
    </r>
  </si>
  <si>
    <t>inches</t>
  </si>
  <si>
    <t>$M/km</t>
  </si>
  <si>
    <t>%</t>
  </si>
  <si>
    <t>Fraction</t>
  </si>
  <si>
    <t>AVG</t>
  </si>
  <si>
    <t>MIN</t>
  </si>
  <si>
    <t>MAX</t>
  </si>
  <si>
    <t>Start ID</t>
  </si>
  <si>
    <t>End ID</t>
  </si>
  <si>
    <t>Slope</t>
  </si>
  <si>
    <t>Intercept</t>
  </si>
  <si>
    <r>
      <t>R</t>
    </r>
    <r>
      <rPr>
        <vertAlign val="superscript"/>
        <sz val="11"/>
        <color indexed="9"/>
        <rFont val="Garamond"/>
        <family val="1"/>
      </rPr>
      <t>2</t>
    </r>
  </si>
  <si>
    <t>X1</t>
  </si>
  <si>
    <t>Y1</t>
  </si>
  <si>
    <t>X2</t>
  </si>
  <si>
    <t>Y2</t>
  </si>
  <si>
    <t>LINE 1</t>
  </si>
  <si>
    <t>LINE 2</t>
  </si>
  <si>
    <t>SLOPE</t>
  </si>
  <si>
    <t>INTERCEPT</t>
  </si>
  <si>
    <t>MIT reference and default NETL tool value.</t>
  </si>
  <si>
    <r>
      <t xml:space="preserve">Information below here is given to show where the </t>
    </r>
    <r>
      <rPr>
        <b/>
        <i/>
        <sz val="11"/>
        <color theme="1" tint="0.249977111117893"/>
        <rFont val="Garamond"/>
        <family val="1"/>
      </rPr>
      <t>SimCCS</t>
    </r>
    <r>
      <rPr>
        <b/>
        <sz val="11"/>
        <color theme="1" tint="0.249977111117893"/>
        <rFont val="Garamond"/>
        <family val="1"/>
      </rPr>
      <t xml:space="preserve"> transport coefficients come from. </t>
    </r>
  </si>
  <si>
    <t>Total project variable cost</t>
  </si>
  <si>
    <t>variable cost per unit flow</t>
  </si>
  <si>
    <t>capacity</t>
  </si>
  <si>
    <t>Fixed Cost ($/unit distance)</t>
  </si>
  <si>
    <t>Variable cost ($/unit distance / unit flow)</t>
  </si>
  <si>
    <t>Arc Data</t>
  </si>
  <si>
    <t>Source Data</t>
  </si>
  <si>
    <t xml:space="preserve">Min </t>
  </si>
  <si>
    <t>Max</t>
  </si>
  <si>
    <t>Average</t>
  </si>
  <si>
    <t>Median</t>
  </si>
  <si>
    <t xml:space="preserve">Statistic </t>
  </si>
  <si>
    <t>Emissions
(unit flow/yr)</t>
  </si>
  <si>
    <t>Capacity
(unit flow/yr)</t>
  </si>
  <si>
    <r>
      <t>Fixed Cost
($/unit distance/</t>
    </r>
    <r>
      <rPr>
        <sz val="11"/>
        <color rgb="FFFF0000"/>
        <rFont val="Calibri"/>
        <family val="2"/>
        <scheme val="minor"/>
      </rPr>
      <t>30 yr</t>
    </r>
    <r>
      <rPr>
        <sz val="11"/>
        <color theme="1"/>
        <rFont val="Calibri"/>
        <family val="2"/>
        <scheme val="minor"/>
      </rPr>
      <t>)</t>
    </r>
  </si>
  <si>
    <t>Variable Cost
($/unit distance/unit flow/yr)</t>
  </si>
  <si>
    <t>Sink Data</t>
  </si>
  <si>
    <r>
      <t>Capture
(unit flow/</t>
    </r>
    <r>
      <rPr>
        <sz val="11"/>
        <color rgb="FFFF0000"/>
        <rFont val="Calibri"/>
        <family val="2"/>
        <scheme val="minor"/>
      </rPr>
      <t>30 yr</t>
    </r>
    <r>
      <rPr>
        <sz val="11"/>
        <color theme="1"/>
        <rFont val="Calibri"/>
        <family val="2"/>
        <scheme val="minor"/>
      </rPr>
      <t>)</t>
    </r>
  </si>
  <si>
    <t>Total Cost at Capacity
($/unit distance)</t>
  </si>
  <si>
    <r>
      <rPr>
        <b/>
        <sz val="11"/>
        <color theme="1"/>
        <rFont val="Calibri"/>
        <family val="2"/>
        <scheme val="minor"/>
      </rPr>
      <t>Total Cost Per Unit Flow at Capacity</t>
    </r>
    <r>
      <rPr>
        <sz val="11"/>
        <color theme="1"/>
        <rFont val="Calibri"/>
        <family val="2"/>
        <scheme val="minor"/>
      </rPr>
      <t xml:space="preserve">
(</t>
    </r>
    <r>
      <rPr>
        <b/>
        <sz val="11"/>
        <color theme="1"/>
        <rFont val="Calibri"/>
        <family val="2"/>
        <scheme val="minor"/>
      </rPr>
      <t>$/unit distance/unit flow)</t>
    </r>
  </si>
  <si>
    <t>Capacity
(unit flow)</t>
  </si>
  <si>
    <t>Emissions
(unit flow)</t>
  </si>
  <si>
    <t>Capture
(unit flow)</t>
  </si>
  <si>
    <r>
      <rPr>
        <b/>
        <i/>
        <sz val="16"/>
        <color theme="1"/>
        <rFont val="Calibri"/>
        <family val="2"/>
        <scheme val="minor"/>
      </rPr>
      <t>f</t>
    </r>
    <r>
      <rPr>
        <b/>
        <i/>
        <vertAlign val="subscript"/>
        <sz val="16"/>
        <color theme="1"/>
        <rFont val="Calibri"/>
        <family val="2"/>
        <scheme val="minor"/>
      </rPr>
      <t>c</t>
    </r>
    <r>
      <rPr>
        <b/>
        <sz val="11"/>
        <color theme="1"/>
        <rFont val="Calibri"/>
        <family val="2"/>
        <scheme val="minor"/>
      </rPr>
      <t xml:space="preserve">
Fixed Cost Scalar
($/unit distance)</t>
    </r>
  </si>
  <si>
    <r>
      <rPr>
        <b/>
        <i/>
        <sz val="16"/>
        <color theme="1"/>
        <rFont val="Calibri"/>
        <family val="2"/>
        <scheme val="minor"/>
      </rPr>
      <t>v</t>
    </r>
    <r>
      <rPr>
        <b/>
        <i/>
        <vertAlign val="subscript"/>
        <sz val="16"/>
        <color theme="1"/>
        <rFont val="Calibri"/>
        <family val="2"/>
        <scheme val="minor"/>
      </rPr>
      <t>c</t>
    </r>
    <r>
      <rPr>
        <b/>
        <sz val="11"/>
        <color theme="1"/>
        <rFont val="Calibri"/>
        <family val="2"/>
        <scheme val="minor"/>
      </rPr>
      <t xml:space="preserve">
Variable Cost Scalar
($/unit distance/unit flow)</t>
    </r>
  </si>
  <si>
    <t>Can we replace the tabular data with functions that capture the same trends and can be tuned/parameterized?</t>
  </si>
  <si>
    <r>
      <t xml:space="preserve">Arc Data
</t>
    </r>
    <r>
      <rPr>
        <i/>
        <sz val="11"/>
        <color theme="1"/>
        <rFont val="Calibri"/>
        <family val="2"/>
        <scheme val="minor"/>
      </rPr>
      <t>(All data is annualized. The "per year" has been dropped from units.)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</si>
</sst>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 tint="0.249977111117893"/>
      <name val="Garamond"/>
      <family val="1"/>
    </font>
    <font>
      <sz val="11"/>
      <color theme="1" tint="0.249977111117893"/>
      <name val="Garamond"/>
      <family val="1"/>
    </font>
    <font>
      <b/>
      <sz val="12"/>
      <color theme="0"/>
      <name val="Garamond"/>
      <family val="1"/>
    </font>
    <font>
      <b/>
      <sz val="12"/>
      <color theme="0"/>
      <name val="Calibri"/>
      <family val="2"/>
      <scheme val="minor"/>
    </font>
    <font>
      <b/>
      <sz val="11"/>
      <color theme="0"/>
      <name val="Garamond"/>
      <family val="1"/>
    </font>
    <font>
      <b/>
      <sz val="10"/>
      <color theme="0"/>
      <name val="Garamond"/>
      <family val="1"/>
    </font>
    <font>
      <b/>
      <vertAlign val="subscript"/>
      <sz val="10"/>
      <color indexed="9"/>
      <name val="Garamond"/>
      <family val="1"/>
    </font>
    <font>
      <b/>
      <sz val="10"/>
      <color indexed="9"/>
      <name val="Garamond"/>
      <family val="1"/>
    </font>
    <font>
      <b/>
      <i/>
      <sz val="10"/>
      <color indexed="9"/>
      <name val="Garamond"/>
      <family val="1"/>
    </font>
    <font>
      <sz val="10"/>
      <color theme="1" tint="0.249977111117893"/>
      <name val="Garamond"/>
      <family val="1"/>
    </font>
    <font>
      <b/>
      <sz val="9"/>
      <color theme="0"/>
      <name val="Garamond"/>
      <family val="1"/>
    </font>
    <font>
      <b/>
      <vertAlign val="subscript"/>
      <sz val="9"/>
      <color indexed="9"/>
      <name val="Garamond"/>
      <family val="1"/>
    </font>
    <font>
      <b/>
      <sz val="9"/>
      <color indexed="9"/>
      <name val="Garamond"/>
      <family val="1"/>
    </font>
    <font>
      <sz val="9"/>
      <color theme="1" tint="0.249977111117893"/>
      <name val="Garamond"/>
      <family val="1"/>
    </font>
    <font>
      <sz val="11"/>
      <color theme="0"/>
      <name val="Garamond"/>
      <family val="1"/>
    </font>
    <font>
      <vertAlign val="superscript"/>
      <sz val="11"/>
      <color indexed="9"/>
      <name val="Garamond"/>
      <family val="1"/>
    </font>
    <font>
      <sz val="11"/>
      <color theme="0" tint="-0.249977111117893"/>
      <name val="Garamond"/>
      <family val="1"/>
    </font>
    <font>
      <b/>
      <sz val="11"/>
      <color theme="1"/>
      <name val="Calibri"/>
      <family val="2"/>
      <scheme val="minor"/>
    </font>
    <font>
      <b/>
      <sz val="11"/>
      <color theme="1" tint="0.249977111117893"/>
      <name val="Garamond"/>
      <family val="1"/>
    </font>
    <font>
      <b/>
      <i/>
      <sz val="11"/>
      <color theme="1" tint="0.249977111117893"/>
      <name val="Garamond"/>
      <family val="1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b/>
      <i/>
      <vertAlign val="subscript"/>
      <sz val="16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54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ck">
        <color rgb="FF00B050"/>
      </left>
      <right style="thin">
        <color theme="0" tint="-0.14996795556505021"/>
      </right>
      <top style="thick">
        <color rgb="FF00B050"/>
      </top>
      <bottom style="thin">
        <color theme="0" tint="-0.14996795556505021"/>
      </bottom>
      <diagonal/>
    </border>
    <border>
      <left style="thin">
        <color theme="0" tint="-0.14996795556505021"/>
      </left>
      <right style="thick">
        <color rgb="FF00B050"/>
      </right>
      <top style="thick">
        <color rgb="FF00B050"/>
      </top>
      <bottom style="thin">
        <color theme="0" tint="-0.14996795556505021"/>
      </bottom>
      <diagonal/>
    </border>
    <border>
      <left style="thick">
        <color rgb="FF00B050"/>
      </left>
      <right style="thin">
        <color theme="0" tint="-0.14996795556505021"/>
      </right>
      <top style="thin">
        <color theme="0" tint="-0.14996795556505021"/>
      </top>
      <bottom style="thick">
        <color rgb="FF00B050"/>
      </bottom>
      <diagonal/>
    </border>
    <border>
      <left style="thin">
        <color theme="0" tint="-0.14996795556505021"/>
      </left>
      <right style="thick">
        <color rgb="FF00B050"/>
      </right>
      <top style="thin">
        <color theme="0" tint="-0.14996795556505021"/>
      </top>
      <bottom style="thick">
        <color rgb="FF00B050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n">
        <color theme="0" tint="-0.14996795556505021"/>
      </bottom>
      <diagonal/>
    </border>
    <border>
      <left style="thick">
        <color rgb="FF00B050"/>
      </left>
      <right style="thick">
        <color rgb="FF00B050"/>
      </right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rgb="FF00B050"/>
      </left>
      <right style="thick">
        <color rgb="FF00B050"/>
      </right>
      <top style="thin">
        <color theme="0" tint="-0.14996795556505021"/>
      </top>
      <bottom style="thick">
        <color rgb="FF00B050"/>
      </bottom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n">
        <color theme="0" tint="-0.14993743705557422"/>
      </bottom>
      <diagonal/>
    </border>
    <border>
      <left style="thick">
        <color rgb="FF00B050"/>
      </left>
      <right style="thick">
        <color rgb="FF00B050"/>
      </right>
      <top style="thin">
        <color theme="0" tint="-0.14993743705557422"/>
      </top>
      <bottom style="thin">
        <color theme="0" tint="-0.14993743705557422"/>
      </bottom>
      <diagonal/>
    </border>
    <border>
      <left style="thick">
        <color rgb="FF00B050"/>
      </left>
      <right style="thick">
        <color rgb="FF00B050"/>
      </right>
      <top style="thin">
        <color theme="0" tint="-0.14993743705557422"/>
      </top>
      <bottom style="thick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0" fontId="3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2" fontId="8" fillId="6" borderId="2" xfId="0" applyNumberFormat="1" applyFont="1" applyFill="1" applyBorder="1" applyAlignment="1">
      <alignment horizontal="center" vertical="center" wrapText="1"/>
    </xf>
    <xf numFmtId="2" fontId="8" fillId="10" borderId="2" xfId="0" applyNumberFormat="1" applyFont="1" applyFill="1" applyBorder="1" applyAlignment="1">
      <alignment horizontal="center" vertical="center" wrapText="1"/>
    </xf>
    <xf numFmtId="164" fontId="8" fillId="10" borderId="2" xfId="0" applyNumberFormat="1" applyFont="1" applyFill="1" applyBorder="1" applyAlignment="1">
      <alignment horizontal="center" vertical="center" wrapText="1"/>
    </xf>
    <xf numFmtId="2" fontId="8" fillId="8" borderId="2" xfId="0" applyNumberFormat="1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/>
    </xf>
    <xf numFmtId="2" fontId="13" fillId="7" borderId="2" xfId="0" applyNumberFormat="1" applyFont="1" applyFill="1" applyBorder="1" applyAlignment="1">
      <alignment horizontal="center" vertical="center" wrapText="1"/>
    </xf>
    <xf numFmtId="2" fontId="13" fillId="11" borderId="2" xfId="0" applyNumberFormat="1" applyFont="1" applyFill="1" applyBorder="1" applyAlignment="1">
      <alignment horizontal="center" vertical="center" wrapText="1"/>
    </xf>
    <xf numFmtId="2" fontId="13" fillId="12" borderId="2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2" fontId="4" fillId="9" borderId="2" xfId="0" applyNumberFormat="1" applyFont="1" applyFill="1" applyBorder="1" applyAlignment="1">
      <alignment horizontal="center" vertical="center"/>
    </xf>
    <xf numFmtId="9" fontId="4" fillId="9" borderId="2" xfId="0" applyNumberFormat="1" applyFont="1" applyFill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4" fillId="13" borderId="1" xfId="0" applyFont="1" applyFill="1" applyBorder="1" applyAlignment="1">
      <alignment horizontal="center" vertical="center"/>
    </xf>
    <xf numFmtId="2" fontId="4" fillId="13" borderId="1" xfId="0" applyNumberFormat="1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4" fillId="14" borderId="1" xfId="0" applyFont="1" applyFill="1" applyBorder="1" applyAlignment="1">
      <alignment horizontal="center" vertical="center"/>
    </xf>
    <xf numFmtId="2" fontId="4" fillId="14" borderId="1" xfId="0" applyNumberFormat="1" applyFont="1" applyFill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2" fontId="19" fillId="0" borderId="1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0" fontId="4" fillId="13" borderId="5" xfId="0" applyFont="1" applyFill="1" applyBorder="1" applyAlignment="1">
      <alignment horizontal="center" vertical="center"/>
    </xf>
    <xf numFmtId="0" fontId="4" fillId="14" borderId="5" xfId="0" applyFont="1" applyFill="1" applyBorder="1" applyAlignment="1">
      <alignment horizontal="center" vertical="center"/>
    </xf>
    <xf numFmtId="2" fontId="4" fillId="13" borderId="3" xfId="0" applyNumberFormat="1" applyFont="1" applyFill="1" applyBorder="1" applyAlignment="1">
      <alignment horizontal="center" vertical="center"/>
    </xf>
    <xf numFmtId="2" fontId="4" fillId="14" borderId="3" xfId="0" applyNumberFormat="1" applyFont="1" applyFill="1" applyBorder="1" applyAlignment="1">
      <alignment horizontal="center" vertical="center"/>
    </xf>
    <xf numFmtId="0" fontId="17" fillId="7" borderId="9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0" fontId="17" fillId="3" borderId="12" xfId="0" applyFont="1" applyFill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7" fillId="5" borderId="1" xfId="0" applyFont="1" applyFill="1" applyBorder="1" applyAlignment="1">
      <alignment horizontal="center" vertical="center"/>
    </xf>
    <xf numFmtId="0" fontId="4" fillId="15" borderId="5" xfId="0" applyFont="1" applyFill="1" applyBorder="1" applyAlignment="1">
      <alignment horizontal="center" vertical="center"/>
    </xf>
    <xf numFmtId="0" fontId="17" fillId="5" borderId="9" xfId="0" applyFont="1" applyFill="1" applyBorder="1" applyAlignment="1">
      <alignment horizontal="center" vertical="center"/>
    </xf>
    <xf numFmtId="0" fontId="4" fillId="16" borderId="10" xfId="0" applyFont="1" applyFill="1" applyBorder="1" applyAlignment="1">
      <alignment horizontal="center" vertical="center"/>
    </xf>
    <xf numFmtId="0" fontId="4" fillId="16" borderId="11" xfId="0" applyFont="1" applyFill="1" applyBorder="1" applyAlignment="1">
      <alignment horizontal="center" vertical="center"/>
    </xf>
    <xf numFmtId="0" fontId="4" fillId="16" borderId="12" xfId="0" applyFont="1" applyFill="1" applyBorder="1" applyAlignment="1">
      <alignment horizontal="center" vertical="center"/>
    </xf>
    <xf numFmtId="0" fontId="4" fillId="16" borderId="13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2" fontId="4" fillId="9" borderId="14" xfId="0" applyNumberFormat="1" applyFont="1" applyFill="1" applyBorder="1" applyAlignment="1">
      <alignment horizontal="center" vertical="center"/>
    </xf>
    <xf numFmtId="0" fontId="4" fillId="9" borderId="3" xfId="0" applyFont="1" applyFill="1" applyBorder="1" applyAlignment="1">
      <alignment horizontal="center" vertical="center"/>
    </xf>
    <xf numFmtId="2" fontId="4" fillId="9" borderId="15" xfId="0" applyNumberFormat="1" applyFont="1" applyFill="1" applyBorder="1" applyAlignment="1">
      <alignment horizontal="center" vertical="center"/>
    </xf>
    <xf numFmtId="2" fontId="13" fillId="7" borderId="16" xfId="0" applyNumberFormat="1" applyFont="1" applyFill="1" applyBorder="1" applyAlignment="1">
      <alignment horizontal="center" vertical="center" wrapText="1"/>
    </xf>
    <xf numFmtId="2" fontId="13" fillId="11" borderId="16" xfId="0" applyNumberFormat="1" applyFont="1" applyFill="1" applyBorder="1" applyAlignment="1">
      <alignment horizontal="center" vertical="center" wrapText="1"/>
    </xf>
    <xf numFmtId="0" fontId="4" fillId="9" borderId="17" xfId="0" applyFont="1" applyFill="1" applyBorder="1" applyAlignment="1">
      <alignment horizontal="center" vertical="center"/>
    </xf>
    <xf numFmtId="0" fontId="4" fillId="9" borderId="18" xfId="0" applyFont="1" applyFill="1" applyBorder="1" applyAlignment="1">
      <alignment horizontal="center" vertical="center"/>
    </xf>
    <xf numFmtId="0" fontId="4" fillId="9" borderId="19" xfId="0" applyFont="1" applyFill="1" applyBorder="1" applyAlignment="1">
      <alignment horizontal="center" vertical="center"/>
    </xf>
    <xf numFmtId="2" fontId="4" fillId="9" borderId="20" xfId="0" applyNumberFormat="1" applyFont="1" applyFill="1" applyBorder="1" applyAlignment="1">
      <alignment horizontal="center" vertical="center"/>
    </xf>
    <xf numFmtId="2" fontId="4" fillId="9" borderId="21" xfId="0" applyNumberFormat="1" applyFont="1" applyFill="1" applyBorder="1" applyAlignment="1">
      <alignment horizontal="center" vertical="center"/>
    </xf>
    <xf numFmtId="2" fontId="4" fillId="9" borderId="22" xfId="0" applyNumberFormat="1" applyFont="1" applyFill="1" applyBorder="1" applyAlignment="1">
      <alignment horizontal="center" vertical="center"/>
    </xf>
    <xf numFmtId="0" fontId="0" fillId="0" borderId="23" xfId="0" applyBorder="1"/>
    <xf numFmtId="0" fontId="24" fillId="0" borderId="26" xfId="0" applyFont="1" applyBorder="1" applyAlignment="1">
      <alignment horizontal="right"/>
    </xf>
    <xf numFmtId="0" fontId="0" fillId="0" borderId="27" xfId="0" applyFont="1" applyBorder="1" applyAlignment="1">
      <alignment horizontal="left" wrapText="1"/>
    </xf>
    <xf numFmtId="0" fontId="24" fillId="0" borderId="27" xfId="0" applyFont="1" applyBorder="1" applyAlignment="1">
      <alignment horizontal="right"/>
    </xf>
    <xf numFmtId="0" fontId="0" fillId="0" borderId="27" xfId="0" applyBorder="1"/>
    <xf numFmtId="0" fontId="24" fillId="0" borderId="28" xfId="0" applyFont="1" applyBorder="1" applyAlignment="1">
      <alignment horizontal="right"/>
    </xf>
    <xf numFmtId="0" fontId="0" fillId="0" borderId="29" xfId="0" applyBorder="1"/>
    <xf numFmtId="0" fontId="0" fillId="0" borderId="23" xfId="0" applyBorder="1" applyAlignment="1">
      <alignment wrapText="1"/>
    </xf>
    <xf numFmtId="0" fontId="0" fillId="0" borderId="26" xfId="0" applyBorder="1"/>
    <xf numFmtId="0" fontId="0" fillId="0" borderId="27" xfId="0" applyBorder="1" applyAlignment="1">
      <alignment wrapText="1"/>
    </xf>
    <xf numFmtId="0" fontId="0" fillId="0" borderId="28" xfId="0" applyBorder="1"/>
    <xf numFmtId="0" fontId="0" fillId="0" borderId="31" xfId="0" applyBorder="1"/>
    <xf numFmtId="0" fontId="24" fillId="0" borderId="29" xfId="0" applyFont="1" applyBorder="1" applyAlignment="1">
      <alignment horizontal="right"/>
    </xf>
    <xf numFmtId="0" fontId="20" fillId="0" borderId="24" xfId="0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25" xfId="0" applyFont="1" applyBorder="1" applyAlignment="1">
      <alignment horizontal="center"/>
    </xf>
    <xf numFmtId="0" fontId="7" fillId="6" borderId="5" xfId="0" applyFont="1" applyFill="1" applyBorder="1" applyAlignment="1">
      <alignment horizontal="right" vertical="center"/>
    </xf>
    <xf numFmtId="0" fontId="1" fillId="6" borderId="6" xfId="0" applyFont="1" applyFill="1" applyBorder="1" applyAlignment="1">
      <alignment horizontal="right" vertical="center"/>
    </xf>
    <xf numFmtId="0" fontId="1" fillId="6" borderId="3" xfId="0" applyFont="1" applyFill="1" applyBorder="1" applyAlignment="1">
      <alignment vertical="center"/>
    </xf>
    <xf numFmtId="0" fontId="4" fillId="9" borderId="5" xfId="0" applyFont="1" applyFill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4" fillId="9" borderId="5" xfId="0" applyFont="1" applyFill="1" applyBorder="1" applyAlignment="1">
      <alignment horizontal="left" vertical="center"/>
    </xf>
    <xf numFmtId="0" fontId="0" fillId="9" borderId="6" xfId="0" applyFill="1" applyBorder="1" applyAlignment="1">
      <alignment horizontal="left" vertical="center"/>
    </xf>
    <xf numFmtId="0" fontId="0" fillId="9" borderId="3" xfId="0" applyFill="1" applyBorder="1" applyAlignment="1">
      <alignment horizontal="left" vertical="center"/>
    </xf>
    <xf numFmtId="0" fontId="0" fillId="9" borderId="6" xfId="0" applyFont="1" applyFill="1" applyBorder="1" applyAlignment="1">
      <alignment horizontal="left" vertical="center"/>
    </xf>
    <xf numFmtId="0" fontId="0" fillId="9" borderId="6" xfId="0" applyFont="1" applyFill="1" applyBorder="1" applyAlignment="1">
      <alignment vertical="center"/>
    </xf>
    <xf numFmtId="0" fontId="0" fillId="9" borderId="6" xfId="0" applyFill="1" applyBorder="1" applyAlignment="1">
      <alignment vertical="center"/>
    </xf>
    <xf numFmtId="0" fontId="0" fillId="9" borderId="3" xfId="0" applyFill="1" applyBorder="1" applyAlignment="1">
      <alignment vertical="center"/>
    </xf>
    <xf numFmtId="0" fontId="21" fillId="15" borderId="5" xfId="0" applyFont="1" applyFill="1" applyBorder="1" applyAlignment="1">
      <alignment horizontal="center" vertical="center"/>
    </xf>
    <xf numFmtId="0" fontId="20" fillId="15" borderId="6" xfId="0" applyFont="1" applyFill="1" applyBorder="1" applyAlignment="1">
      <alignment horizontal="center" vertical="center"/>
    </xf>
    <xf numFmtId="0" fontId="20" fillId="15" borderId="3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2" fontId="7" fillId="5" borderId="7" xfId="0" applyNumberFormat="1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25" fillId="0" borderId="26" xfId="0" applyFont="1" applyBorder="1" applyAlignment="1">
      <alignment horizontal="right"/>
    </xf>
    <xf numFmtId="0" fontId="20" fillId="0" borderId="27" xfId="0" applyFont="1" applyBorder="1" applyAlignment="1">
      <alignment horizontal="left" wrapText="1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7" xfId="0" applyBorder="1"/>
    <xf numFmtId="0" fontId="20" fillId="0" borderId="44" xfId="0" applyFont="1" applyBorder="1" applyAlignment="1">
      <alignment horizontal="center" wrapText="1"/>
    </xf>
    <xf numFmtId="0" fontId="20" fillId="0" borderId="45" xfId="0" applyFont="1" applyBorder="1" applyAlignment="1">
      <alignment horizontal="center" wrapText="1"/>
    </xf>
    <xf numFmtId="0" fontId="20" fillId="0" borderId="46" xfId="0" applyFont="1" applyBorder="1" applyAlignment="1">
      <alignment horizontal="center" wrapText="1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 wrapText="1"/>
    </xf>
    <xf numFmtId="0" fontId="20" fillId="0" borderId="41" xfId="0" applyFont="1" applyBorder="1" applyAlignment="1">
      <alignment horizontal="center" wrapText="1"/>
    </xf>
    <xf numFmtId="0" fontId="20" fillId="0" borderId="42" xfId="0" applyFont="1" applyBorder="1" applyAlignment="1">
      <alignment horizontal="center" wrapText="1"/>
    </xf>
    <xf numFmtId="0" fontId="0" fillId="0" borderId="43" xfId="0" applyBorder="1" applyAlignment="1">
      <alignment horizontal="center" wrapText="1"/>
    </xf>
    <xf numFmtId="0" fontId="29" fillId="0" borderId="47" xfId="0" applyFont="1" applyBorder="1" applyAlignment="1">
      <alignment horizontal="center" wrapText="1"/>
    </xf>
    <xf numFmtId="0" fontId="29" fillId="0" borderId="48" xfId="0" applyFont="1" applyBorder="1" applyAlignment="1">
      <alignment horizontal="center" wrapText="1"/>
    </xf>
    <xf numFmtId="0" fontId="29" fillId="0" borderId="49" xfId="0" applyFont="1" applyBorder="1" applyAlignment="1">
      <alignment horizontal="center" wrapText="1"/>
    </xf>
    <xf numFmtId="0" fontId="29" fillId="0" borderId="38" xfId="0" applyFont="1" applyBorder="1" applyAlignment="1">
      <alignment horizontal="center" wrapText="1"/>
    </xf>
    <xf numFmtId="0" fontId="29" fillId="0" borderId="0" xfId="0" applyFont="1" applyBorder="1" applyAlignment="1">
      <alignment horizontal="center" wrapText="1"/>
    </xf>
    <xf numFmtId="0" fontId="29" fillId="0" borderId="50" xfId="0" applyFont="1" applyBorder="1" applyAlignment="1">
      <alignment horizontal="center" wrapText="1"/>
    </xf>
    <xf numFmtId="0" fontId="29" fillId="0" borderId="51" xfId="0" applyFont="1" applyBorder="1" applyAlignment="1">
      <alignment horizontal="center" wrapText="1"/>
    </xf>
    <xf numFmtId="0" fontId="29" fillId="0" borderId="52" xfId="0" applyFont="1" applyBorder="1" applyAlignment="1">
      <alignment horizontal="center" wrapText="1"/>
    </xf>
    <xf numFmtId="0" fontId="29" fillId="0" borderId="53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Fixed Cost Scalar
($/unit distance)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'FCNF-Solver Cost Model'!$C$2</c:f>
              <c:strCache>
                <c:ptCount val="1"/>
                <c:pt idx="0">
                  <c:v>fc
Fixed Cost Scalar
($/unit distance)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'FCNF-Solver Cost Model'!$B$3:$B$13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'FCNF-Solver Cost Model'!$C$3:$C$13</c:f>
              <c:numCache>
                <c:formatCode>General</c:formatCode>
                <c:ptCount val="11"/>
                <c:pt idx="0">
                  <c:v>1.2381480272646111E-2</c:v>
                </c:pt>
                <c:pt idx="1">
                  <c:v>1.409940018216101E-2</c:v>
                </c:pt>
                <c:pt idx="2">
                  <c:v>1.6216406140774943E-2</c:v>
                </c:pt>
                <c:pt idx="3">
                  <c:v>2.1695290357863262E-2</c:v>
                </c:pt>
                <c:pt idx="4">
                  <c:v>3.0974862824600918E-2</c:v>
                </c:pt>
                <c:pt idx="5">
                  <c:v>4.1795733287479382E-2</c:v>
                </c:pt>
                <c:pt idx="6">
                  <c:v>5.5473248849143751E-2</c:v>
                </c:pt>
                <c:pt idx="7">
                  <c:v>7.7642542402120984E-2</c:v>
                </c:pt>
                <c:pt idx="8">
                  <c:v>0.10471596632589307</c:v>
                </c:pt>
                <c:pt idx="9">
                  <c:v>0.13675195617133318</c:v>
                </c:pt>
                <c:pt idx="10">
                  <c:v>0.17274768636740584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C67-46AB-B7DD-110B7E718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420303"/>
        <c:axId val="1300418639"/>
      </c:scatterChart>
      <c:valAx>
        <c:axId val="13004203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18639"/>
        <c:crosses val="autoZero"/>
        <c:crossBetween val="midCat"/>
      </c:valAx>
      <c:valAx>
        <c:axId val="13004186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Fixed Cost Scalar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4203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Variable Cost Scalar
($/unit distance/unit flow)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'FCNF-Solver Cost Model'!$D$2</c:f>
              <c:strCache>
                <c:ptCount val="1"/>
                <c:pt idx="0">
                  <c:v>vc
Variable Cost Scalar
($/unit distance/unit flow)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'FCNF-Solver Cost Model'!$B$3:$B$13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'FCNF-Solver Cost Model'!$D$3:$D$13</c:f>
              <c:numCache>
                <c:formatCode>General</c:formatCode>
                <c:ptCount val="11"/>
                <c:pt idx="0">
                  <c:v>1.0685656015894468E-2</c:v>
                </c:pt>
                <c:pt idx="1">
                  <c:v>4.5005888683759101E-3</c:v>
                </c:pt>
                <c:pt idx="2">
                  <c:v>2.7475015681563647E-3</c:v>
                </c:pt>
                <c:pt idx="3">
                  <c:v>1.7008604514464102E-3</c:v>
                </c:pt>
                <c:pt idx="4">
                  <c:v>1.4072824832279355E-3</c:v>
                </c:pt>
                <c:pt idx="5">
                  <c:v>1.2908691004676549E-3</c:v>
                </c:pt>
                <c:pt idx="6">
                  <c:v>1.2350636828217818E-3</c:v>
                </c:pt>
                <c:pt idx="7">
                  <c:v>1.1945923818396397E-3</c:v>
                </c:pt>
                <c:pt idx="8">
                  <c:v>1.1750941348626686E-3</c:v>
                </c:pt>
                <c:pt idx="9">
                  <c:v>1.1645784660221504E-3</c:v>
                </c:pt>
                <c:pt idx="10">
                  <c:v>1.0987884799315327E-3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F9-4501-8E48-97F80058B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1660783"/>
        <c:axId val="1301664943"/>
      </c:scatterChart>
      <c:valAx>
        <c:axId val="13016607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664943"/>
        <c:crosses val="autoZero"/>
        <c:crossBetween val="midCat"/>
      </c:valAx>
      <c:valAx>
        <c:axId val="1301664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Variable Cost Scalar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16607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'FCNF-Solver Cost Model'!$E$2</c:f>
              <c:strCache>
                <c:ptCount val="1"/>
                <c:pt idx="0">
                  <c:v>Total Cost at Capacity
($/unit distance)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'FCNF-Solver Cost Model'!$B$3:$B$13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'FCNF-Solver Cost Model'!$E$3:$E$13</c:f>
              <c:numCache>
                <c:formatCode>General</c:formatCode>
                <c:ptCount val="11"/>
                <c:pt idx="0">
                  <c:v>1.4411754915666059E-2</c:v>
                </c:pt>
                <c:pt idx="1">
                  <c:v>1.6529718171084E-2</c:v>
                </c:pt>
                <c:pt idx="2">
                  <c:v>1.9321082912791634E-2</c:v>
                </c:pt>
                <c:pt idx="3">
                  <c:v>2.7223086825064094E-2</c:v>
                </c:pt>
                <c:pt idx="4">
                  <c:v>4.0628820659544554E-2</c:v>
                </c:pt>
                <c:pt idx="5">
                  <c:v>5.7621788459212828E-2</c:v>
                </c:pt>
                <c:pt idx="6">
                  <c:v>7.9791652763904639E-2</c:v>
                </c:pt>
                <c:pt idx="7">
                  <c:v>0.11960857277614753</c:v>
                </c:pt>
                <c:pt idx="8">
                  <c:v>0.17106178118023935</c:v>
                </c:pt>
                <c:pt idx="9">
                  <c:v>0.2345183183938927</c:v>
                </c:pt>
                <c:pt idx="10">
                  <c:v>0.30367932163604727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79-4F59-AF98-994A7840A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66432"/>
        <c:axId val="155468512"/>
      </c:scatterChart>
      <c:valAx>
        <c:axId val="15546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468512"/>
        <c:crosses val="autoZero"/>
        <c:crossBetween val="midCat"/>
      </c:valAx>
      <c:valAx>
        <c:axId val="155468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Cost at 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546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'FCNF-Solver Cost Model'!$F$2</c:f>
              <c:strCache>
                <c:ptCount val="1"/>
                <c:pt idx="0">
                  <c:v>Total Cost Per Unit Flow at Capacity
($/unit distance/unit flow)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'FCNF-Solver Cost Model'!$B$3:$B$13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'FCNF-Solver Cost Model'!$F$3:$F$13</c:f>
              <c:numCache>
                <c:formatCode>General</c:formatCode>
                <c:ptCount val="11"/>
                <c:pt idx="0">
                  <c:v>7.5851341661400312E-2</c:v>
                </c:pt>
                <c:pt idx="1">
                  <c:v>3.0610589205711108E-2</c:v>
                </c:pt>
                <c:pt idx="2">
                  <c:v>1.7098303462647464E-2</c:v>
                </c:pt>
                <c:pt idx="3">
                  <c:v>8.3763344077120282E-3</c:v>
                </c:pt>
                <c:pt idx="4">
                  <c:v>5.9225686092630545E-3</c:v>
                </c:pt>
                <c:pt idx="5">
                  <c:v>4.6999827454496596E-3</c:v>
                </c:pt>
                <c:pt idx="6">
                  <c:v>4.05239475692761E-3</c:v>
                </c:pt>
                <c:pt idx="7">
                  <c:v>3.4047416104795764E-3</c:v>
                </c:pt>
                <c:pt idx="8">
                  <c:v>3.0297871268196836E-3</c:v>
                </c:pt>
                <c:pt idx="9">
                  <c:v>2.7935475687181975E-3</c:v>
                </c:pt>
                <c:pt idx="10">
                  <c:v>2.5485005172545087E-3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ED-4015-81CB-AAD2D8A81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9872"/>
        <c:axId val="164854864"/>
      </c:scatterChart>
      <c:valAx>
        <c:axId val="164849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54864"/>
        <c:crosses val="autoZero"/>
        <c:crossBetween val="midCat"/>
      </c:valAx>
      <c:valAx>
        <c:axId val="16485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Total Cost Per Unit Flow at Capacity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849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 ALl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'SimCCS Pipeline Model'!$C$22:$C$32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'SimCCS Pipeline Model'!$G$22:$G$32</c:f>
              <c:numCache>
                <c:formatCode>0.00</c:formatCode>
                <c:ptCount val="11"/>
                <c:pt idx="0">
                  <c:v>0.43235264746998181</c:v>
                </c:pt>
                <c:pt idx="1">
                  <c:v>0.49589154513252004</c:v>
                </c:pt>
                <c:pt idx="2">
                  <c:v>0.57963248738374906</c:v>
                </c:pt>
                <c:pt idx="3">
                  <c:v>0.81669260475192285</c:v>
                </c:pt>
                <c:pt idx="4">
                  <c:v>1.2188646197863366</c:v>
                </c:pt>
                <c:pt idx="5">
                  <c:v>1.7286536537763848</c:v>
                </c:pt>
                <c:pt idx="6">
                  <c:v>2.3937495829171391</c:v>
                </c:pt>
                <c:pt idx="7">
                  <c:v>3.5882571832844259</c:v>
                </c:pt>
                <c:pt idx="8">
                  <c:v>5.1318534354071801</c:v>
                </c:pt>
                <c:pt idx="9">
                  <c:v>7.0355495518167812</c:v>
                </c:pt>
                <c:pt idx="10">
                  <c:v>9.110379649081418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BB-4093-90E7-0190A67EE8B4}"/>
            </c:ext>
          </c:extLst>
        </c:ser>
        <c:ser>
          <c:idx val="0"/>
          <c:order val="1"/>
          <c:tx>
            <c:v> Piece #1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Model'!$H$37,'SimCCS Pipeline Model'!$J$37)</c:f>
              <c:numCache>
                <c:formatCode>0.00</c:formatCode>
                <c:ptCount val="2"/>
                <c:pt idx="0">
                  <c:v>0.1</c:v>
                </c:pt>
                <c:pt idx="1">
                  <c:v>12.26</c:v>
                </c:pt>
              </c:numCache>
            </c:numRef>
          </c:xVal>
          <c:yVal>
            <c:numRef>
              <c:f>('SimCCS Pipeline Model'!$I$37,'SimCCS Pipeline Model'!$K$37)</c:f>
              <c:numCache>
                <c:formatCode>0.00</c:formatCode>
                <c:ptCount val="2"/>
                <c:pt idx="0">
                  <c:v>0.44322704717127143</c:v>
                </c:pt>
                <c:pt idx="1">
                  <c:v>1.8503719304323654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BB-4093-90E7-0190A67EE8B4}"/>
            </c:ext>
          </c:extLst>
        </c:ser>
        <c:ser>
          <c:idx val="1"/>
          <c:order val="2"/>
          <c:tx>
            <c:v> Piece #2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Model'!$H$38,'SimCCS Pipeline Model'!$J$38)</c:f>
              <c:numCache>
                <c:formatCode>0.00</c:formatCode>
                <c:ptCount val="2"/>
                <c:pt idx="0">
                  <c:v>3.25</c:v>
                </c:pt>
                <c:pt idx="1">
                  <c:v>119.16</c:v>
                </c:pt>
              </c:numCache>
            </c:numRef>
          </c:xVal>
          <c:yVal>
            <c:numRef>
              <c:f>('SimCCS Pipeline Model'!$I$38,'SimCCS Pipeline Model'!$K$38)</c:f>
              <c:numCache>
                <c:formatCode>0.00</c:formatCode>
                <c:ptCount val="2"/>
                <c:pt idx="0">
                  <c:v>1.0245338125080121</c:v>
                </c:pt>
                <c:pt idx="1">
                  <c:v>10.101063011089755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BB-4093-90E7-0190A67EE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815800"/>
        <c:axId val="1"/>
      </c:scatterChart>
      <c:valAx>
        <c:axId val="1517815800"/>
        <c:scaling>
          <c:logBase val="10"/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 flow (MtCO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/yr)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333333"/>
                </a:solidFill>
                <a:latin typeface="Palatino Linotype"/>
                <a:ea typeface="Palatino Linotype"/>
                <a:cs typeface="Palatino Linotype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Cost ($M/km)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151781580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Palatino Linotype" panose="020405020505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 ALl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'SimCCS Pipeline Model'!$C$22:$C$32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'SimCCS Pipeline Model'!$G$22:$G$32</c:f>
              <c:numCache>
                <c:formatCode>0.00</c:formatCode>
                <c:ptCount val="11"/>
                <c:pt idx="0">
                  <c:v>0.43235264746998181</c:v>
                </c:pt>
                <c:pt idx="1">
                  <c:v>0.49589154513252004</c:v>
                </c:pt>
                <c:pt idx="2">
                  <c:v>0.57963248738374906</c:v>
                </c:pt>
                <c:pt idx="3">
                  <c:v>0.81669260475192285</c:v>
                </c:pt>
                <c:pt idx="4">
                  <c:v>1.2188646197863366</c:v>
                </c:pt>
                <c:pt idx="5">
                  <c:v>1.7286536537763848</c:v>
                </c:pt>
                <c:pt idx="6">
                  <c:v>2.3937495829171391</c:v>
                </c:pt>
                <c:pt idx="7">
                  <c:v>3.5882571832844259</c:v>
                </c:pt>
                <c:pt idx="8">
                  <c:v>5.1318534354071801</c:v>
                </c:pt>
                <c:pt idx="9">
                  <c:v>7.0355495518167812</c:v>
                </c:pt>
                <c:pt idx="10">
                  <c:v>9.110379649081418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52-492A-AD9F-B40C59268514}"/>
            </c:ext>
          </c:extLst>
        </c:ser>
        <c:ser>
          <c:idx val="0"/>
          <c:order val="1"/>
          <c:tx>
            <c:v> Piece #1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Model'!$H$37,'SimCCS Pipeline Model'!$J$37)</c:f>
              <c:numCache>
                <c:formatCode>0.00</c:formatCode>
                <c:ptCount val="2"/>
                <c:pt idx="0">
                  <c:v>0.1</c:v>
                </c:pt>
                <c:pt idx="1">
                  <c:v>12.26</c:v>
                </c:pt>
              </c:numCache>
            </c:numRef>
          </c:xVal>
          <c:yVal>
            <c:numRef>
              <c:f>('SimCCS Pipeline Model'!$I$37,'SimCCS Pipeline Model'!$K$37)</c:f>
              <c:numCache>
                <c:formatCode>0.00</c:formatCode>
                <c:ptCount val="2"/>
                <c:pt idx="0">
                  <c:v>0.44322704717127143</c:v>
                </c:pt>
                <c:pt idx="1">
                  <c:v>1.8503719304323654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52-492A-AD9F-B40C59268514}"/>
            </c:ext>
          </c:extLst>
        </c:ser>
        <c:ser>
          <c:idx val="1"/>
          <c:order val="2"/>
          <c:tx>
            <c:v> Piece #2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Model'!$H$38,'SimCCS Pipeline Model'!$J$38)</c:f>
              <c:numCache>
                <c:formatCode>0.00</c:formatCode>
                <c:ptCount val="2"/>
                <c:pt idx="0">
                  <c:v>3.25</c:v>
                </c:pt>
                <c:pt idx="1">
                  <c:v>119.16</c:v>
                </c:pt>
              </c:numCache>
            </c:numRef>
          </c:xVal>
          <c:yVal>
            <c:numRef>
              <c:f>('SimCCS Pipeline Model'!$I$38,'SimCCS Pipeline Model'!$K$38)</c:f>
              <c:numCache>
                <c:formatCode>0.00</c:formatCode>
                <c:ptCount val="2"/>
                <c:pt idx="0">
                  <c:v>1.0245338125080121</c:v>
                </c:pt>
                <c:pt idx="1">
                  <c:v>10.101063011089755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B52-492A-AD9F-B40C59268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854832"/>
        <c:axId val="1"/>
      </c:scatterChart>
      <c:valAx>
        <c:axId val="1517854832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 flow (MtCO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/yr)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333333"/>
                </a:solidFill>
                <a:latin typeface="Palatino Linotype"/>
                <a:ea typeface="Palatino Linotype"/>
                <a:cs typeface="Palatino Linotype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Cost ($M/km)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1517854832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Palatino Linotype" panose="020405020505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 ALl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'SimCCS Pipeline Model'!$C$22:$C$32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'SimCCS Pipeline Model'!$G$22:$G$32</c:f>
              <c:numCache>
                <c:formatCode>0.00</c:formatCode>
                <c:ptCount val="11"/>
                <c:pt idx="0">
                  <c:v>0.43235264746998181</c:v>
                </c:pt>
                <c:pt idx="1">
                  <c:v>0.49589154513252004</c:v>
                </c:pt>
                <c:pt idx="2">
                  <c:v>0.57963248738374906</c:v>
                </c:pt>
                <c:pt idx="3">
                  <c:v>0.81669260475192285</c:v>
                </c:pt>
                <c:pt idx="4">
                  <c:v>1.2188646197863366</c:v>
                </c:pt>
                <c:pt idx="5">
                  <c:v>1.7286536537763848</c:v>
                </c:pt>
                <c:pt idx="6">
                  <c:v>2.3937495829171391</c:v>
                </c:pt>
                <c:pt idx="7">
                  <c:v>3.5882571832844259</c:v>
                </c:pt>
                <c:pt idx="8">
                  <c:v>5.1318534354071801</c:v>
                </c:pt>
                <c:pt idx="9">
                  <c:v>7.0355495518167812</c:v>
                </c:pt>
                <c:pt idx="10">
                  <c:v>9.110379649081418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DE-46C1-BAC7-0978808312BE}"/>
            </c:ext>
          </c:extLst>
        </c:ser>
        <c:ser>
          <c:idx val="0"/>
          <c:order val="1"/>
          <c:tx>
            <c:v> Piece #1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Model'!$H$37,'SimCCS Pipeline Model'!$J$37)</c:f>
              <c:numCache>
                <c:formatCode>0.00</c:formatCode>
                <c:ptCount val="2"/>
                <c:pt idx="0">
                  <c:v>0.1</c:v>
                </c:pt>
                <c:pt idx="1">
                  <c:v>12.26</c:v>
                </c:pt>
              </c:numCache>
            </c:numRef>
          </c:xVal>
          <c:yVal>
            <c:numRef>
              <c:f>('SimCCS Pipeline Model'!$I$37,'SimCCS Pipeline Model'!$K$37)</c:f>
              <c:numCache>
                <c:formatCode>0.00</c:formatCode>
                <c:ptCount val="2"/>
                <c:pt idx="0">
                  <c:v>0.44322704717127143</c:v>
                </c:pt>
                <c:pt idx="1">
                  <c:v>1.8503719304323654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DE-46C1-BAC7-0978808312BE}"/>
            </c:ext>
          </c:extLst>
        </c:ser>
        <c:ser>
          <c:idx val="1"/>
          <c:order val="2"/>
          <c:tx>
            <c:v> Piece #2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Model'!$H$38,'SimCCS Pipeline Model'!$J$38)</c:f>
              <c:numCache>
                <c:formatCode>0.00</c:formatCode>
                <c:ptCount val="2"/>
                <c:pt idx="0">
                  <c:v>3.25</c:v>
                </c:pt>
                <c:pt idx="1">
                  <c:v>119.16</c:v>
                </c:pt>
              </c:numCache>
            </c:numRef>
          </c:xVal>
          <c:yVal>
            <c:numRef>
              <c:f>('SimCCS Pipeline Model'!$I$38,'SimCCS Pipeline Model'!$K$38)</c:f>
              <c:numCache>
                <c:formatCode>0.00</c:formatCode>
                <c:ptCount val="2"/>
                <c:pt idx="0">
                  <c:v>1.0245338125080121</c:v>
                </c:pt>
                <c:pt idx="1">
                  <c:v>10.101063011089755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DE-46C1-BAC7-0978808312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727568"/>
        <c:axId val="1"/>
      </c:scatterChart>
      <c:valAx>
        <c:axId val="1517727568"/>
        <c:scaling>
          <c:orientation val="minMax"/>
          <c:max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 flow (MtCO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/yr)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333333"/>
                </a:solidFill>
                <a:latin typeface="Palatino Linotype"/>
                <a:ea typeface="Palatino Linotype"/>
                <a:cs typeface="Palatino Linotype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2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Cost ($M/km)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151772756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Palatino Linotype" panose="020405020505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 ALl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'SimCCS Pipeline Model'!$C$22:$C$32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'SimCCS Pipeline Model'!$G$22:$G$32</c:f>
              <c:numCache>
                <c:formatCode>0.00</c:formatCode>
                <c:ptCount val="11"/>
                <c:pt idx="0">
                  <c:v>0.43235264746998181</c:v>
                </c:pt>
                <c:pt idx="1">
                  <c:v>0.49589154513252004</c:v>
                </c:pt>
                <c:pt idx="2">
                  <c:v>0.57963248738374906</c:v>
                </c:pt>
                <c:pt idx="3">
                  <c:v>0.81669260475192285</c:v>
                </c:pt>
                <c:pt idx="4">
                  <c:v>1.2188646197863366</c:v>
                </c:pt>
                <c:pt idx="5">
                  <c:v>1.7286536537763848</c:v>
                </c:pt>
                <c:pt idx="6">
                  <c:v>2.3937495829171391</c:v>
                </c:pt>
                <c:pt idx="7">
                  <c:v>3.5882571832844259</c:v>
                </c:pt>
                <c:pt idx="8">
                  <c:v>5.1318534354071801</c:v>
                </c:pt>
                <c:pt idx="9">
                  <c:v>7.0355495518167812</c:v>
                </c:pt>
                <c:pt idx="10">
                  <c:v>9.110379649081418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36-4FA9-912E-86F00658ECE1}"/>
            </c:ext>
          </c:extLst>
        </c:ser>
        <c:ser>
          <c:idx val="0"/>
          <c:order val="1"/>
          <c:tx>
            <c:v> Piece #1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Model'!$H$37,'SimCCS Pipeline Model'!$J$37)</c:f>
              <c:numCache>
                <c:formatCode>0.00</c:formatCode>
                <c:ptCount val="2"/>
                <c:pt idx="0">
                  <c:v>0.1</c:v>
                </c:pt>
                <c:pt idx="1">
                  <c:v>12.26</c:v>
                </c:pt>
              </c:numCache>
            </c:numRef>
          </c:xVal>
          <c:yVal>
            <c:numRef>
              <c:f>('SimCCS Pipeline Model'!$I$37,'SimCCS Pipeline Model'!$K$37)</c:f>
              <c:numCache>
                <c:formatCode>0.00</c:formatCode>
                <c:ptCount val="2"/>
                <c:pt idx="0">
                  <c:v>0.44322704717127143</c:v>
                </c:pt>
                <c:pt idx="1">
                  <c:v>1.8503719304323654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36-4FA9-912E-86F00658ECE1}"/>
            </c:ext>
          </c:extLst>
        </c:ser>
        <c:ser>
          <c:idx val="1"/>
          <c:order val="2"/>
          <c:tx>
            <c:v> Piece #2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Model'!$H$38,'SimCCS Pipeline Model'!$J$38)</c:f>
              <c:numCache>
                <c:formatCode>0.00</c:formatCode>
                <c:ptCount val="2"/>
                <c:pt idx="0">
                  <c:v>3.25</c:v>
                </c:pt>
                <c:pt idx="1">
                  <c:v>119.16</c:v>
                </c:pt>
              </c:numCache>
            </c:numRef>
          </c:xVal>
          <c:yVal>
            <c:numRef>
              <c:f>('SimCCS Pipeline Model'!$I$38,'SimCCS Pipeline Model'!$K$38)</c:f>
              <c:numCache>
                <c:formatCode>0.00</c:formatCode>
                <c:ptCount val="2"/>
                <c:pt idx="0">
                  <c:v>1.0245338125080121</c:v>
                </c:pt>
                <c:pt idx="1">
                  <c:v>10.101063011089755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36-4FA9-912E-86F00658EC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728224"/>
        <c:axId val="1"/>
      </c:scatterChart>
      <c:valAx>
        <c:axId val="1517728224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 flow (MtCO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/yr)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333333"/>
                </a:solidFill>
                <a:latin typeface="Palatino Linotype"/>
                <a:ea typeface="Palatino Linotype"/>
                <a:cs typeface="Palatino Linotype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Cost ($M/km)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1517728224"/>
        <c:crosses val="autoZero"/>
        <c:crossBetween val="midCat"/>
        <c:majorUnit val="0.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Palatino Linotype" panose="020405020505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 ALl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'SimCCS Pipeline Model'!$C$22:$C$32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'SimCCS Pipeline Model'!$G$22:$G$32</c:f>
              <c:numCache>
                <c:formatCode>0.00</c:formatCode>
                <c:ptCount val="11"/>
                <c:pt idx="0">
                  <c:v>0.43235264746998181</c:v>
                </c:pt>
                <c:pt idx="1">
                  <c:v>0.49589154513252004</c:v>
                </c:pt>
                <c:pt idx="2">
                  <c:v>0.57963248738374906</c:v>
                </c:pt>
                <c:pt idx="3">
                  <c:v>0.81669260475192285</c:v>
                </c:pt>
                <c:pt idx="4">
                  <c:v>1.2188646197863366</c:v>
                </c:pt>
                <c:pt idx="5">
                  <c:v>1.7286536537763848</c:v>
                </c:pt>
                <c:pt idx="6">
                  <c:v>2.3937495829171391</c:v>
                </c:pt>
                <c:pt idx="7">
                  <c:v>3.5882571832844259</c:v>
                </c:pt>
                <c:pt idx="8">
                  <c:v>5.1318534354071801</c:v>
                </c:pt>
                <c:pt idx="9">
                  <c:v>7.0355495518167812</c:v>
                </c:pt>
                <c:pt idx="10">
                  <c:v>9.110379649081418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51-4AEE-9A4A-47D44DF75A76}"/>
            </c:ext>
          </c:extLst>
        </c:ser>
        <c:ser>
          <c:idx val="0"/>
          <c:order val="1"/>
          <c:tx>
            <c:v> Piece #1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Model'!$H$37,'SimCCS Pipeline Model'!$J$37)</c:f>
              <c:numCache>
                <c:formatCode>0.00</c:formatCode>
                <c:ptCount val="2"/>
                <c:pt idx="0">
                  <c:v>0.1</c:v>
                </c:pt>
                <c:pt idx="1">
                  <c:v>12.26</c:v>
                </c:pt>
              </c:numCache>
            </c:numRef>
          </c:xVal>
          <c:yVal>
            <c:numRef>
              <c:f>('SimCCS Pipeline Model'!$I$37,'SimCCS Pipeline Model'!$K$37)</c:f>
              <c:numCache>
                <c:formatCode>0.00</c:formatCode>
                <c:ptCount val="2"/>
                <c:pt idx="0">
                  <c:v>0.44322704717127143</c:v>
                </c:pt>
                <c:pt idx="1">
                  <c:v>1.8503719304323654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51-4AEE-9A4A-47D44DF75A76}"/>
            </c:ext>
          </c:extLst>
        </c:ser>
        <c:ser>
          <c:idx val="1"/>
          <c:order val="2"/>
          <c:tx>
            <c:v> Piece #2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Model'!$H$38,'SimCCS Pipeline Model'!$J$38)</c:f>
              <c:numCache>
                <c:formatCode>0.00</c:formatCode>
                <c:ptCount val="2"/>
                <c:pt idx="0">
                  <c:v>3.25</c:v>
                </c:pt>
                <c:pt idx="1">
                  <c:v>119.16</c:v>
                </c:pt>
              </c:numCache>
            </c:numRef>
          </c:xVal>
          <c:yVal>
            <c:numRef>
              <c:f>('SimCCS Pipeline Model'!$I$38,'SimCCS Pipeline Model'!$K$38)</c:f>
              <c:numCache>
                <c:formatCode>0.00</c:formatCode>
                <c:ptCount val="2"/>
                <c:pt idx="0">
                  <c:v>1.0245338125080121</c:v>
                </c:pt>
                <c:pt idx="1">
                  <c:v>10.101063011089755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51-4AEE-9A4A-47D44DF75A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735440"/>
        <c:axId val="1"/>
      </c:scatterChart>
      <c:valAx>
        <c:axId val="1517735440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 flow (MtCO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/yr)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333333"/>
                </a:solidFill>
                <a:latin typeface="Palatino Linotype"/>
                <a:ea typeface="Palatino Linotype"/>
                <a:cs typeface="Palatino Linotype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Cost ($M/km)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151773544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Palatino Linotype" panose="020405020505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 ALl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'SimCCS Pipeline Model'!$C$22:$C$32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'SimCCS Pipeline Model'!$G$22:$G$32</c:f>
              <c:numCache>
                <c:formatCode>0.00</c:formatCode>
                <c:ptCount val="11"/>
                <c:pt idx="0">
                  <c:v>0.43235264746998181</c:v>
                </c:pt>
                <c:pt idx="1">
                  <c:v>0.49589154513252004</c:v>
                </c:pt>
                <c:pt idx="2">
                  <c:v>0.57963248738374906</c:v>
                </c:pt>
                <c:pt idx="3">
                  <c:v>0.81669260475192285</c:v>
                </c:pt>
                <c:pt idx="4">
                  <c:v>1.2188646197863366</c:v>
                </c:pt>
                <c:pt idx="5">
                  <c:v>1.7286536537763848</c:v>
                </c:pt>
                <c:pt idx="6">
                  <c:v>2.3937495829171391</c:v>
                </c:pt>
                <c:pt idx="7">
                  <c:v>3.5882571832844259</c:v>
                </c:pt>
                <c:pt idx="8">
                  <c:v>5.1318534354071801</c:v>
                </c:pt>
                <c:pt idx="9">
                  <c:v>7.0355495518167812</c:v>
                </c:pt>
                <c:pt idx="10">
                  <c:v>9.110379649081418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6-4558-B565-B70D576F0A09}"/>
            </c:ext>
          </c:extLst>
        </c:ser>
        <c:ser>
          <c:idx val="0"/>
          <c:order val="1"/>
          <c:tx>
            <c:v> Piece #1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Model'!$H$37,'SimCCS Pipeline Model'!$J$37)</c:f>
              <c:numCache>
                <c:formatCode>0.00</c:formatCode>
                <c:ptCount val="2"/>
                <c:pt idx="0">
                  <c:v>0.1</c:v>
                </c:pt>
                <c:pt idx="1">
                  <c:v>12.26</c:v>
                </c:pt>
              </c:numCache>
            </c:numRef>
          </c:xVal>
          <c:yVal>
            <c:numRef>
              <c:f>('SimCCS Pipeline Model'!$I$37,'SimCCS Pipeline Model'!$K$37)</c:f>
              <c:numCache>
                <c:formatCode>0.00</c:formatCode>
                <c:ptCount val="2"/>
                <c:pt idx="0">
                  <c:v>0.44322704717127143</c:v>
                </c:pt>
                <c:pt idx="1">
                  <c:v>1.8503719304323654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6-4558-B565-B70D576F0A09}"/>
            </c:ext>
          </c:extLst>
        </c:ser>
        <c:ser>
          <c:idx val="1"/>
          <c:order val="2"/>
          <c:tx>
            <c:v> Piece #2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Model'!$H$38,'SimCCS Pipeline Model'!$J$38)</c:f>
              <c:numCache>
                <c:formatCode>0.00</c:formatCode>
                <c:ptCount val="2"/>
                <c:pt idx="0">
                  <c:v>3.25</c:v>
                </c:pt>
                <c:pt idx="1">
                  <c:v>119.16</c:v>
                </c:pt>
              </c:numCache>
            </c:numRef>
          </c:xVal>
          <c:yVal>
            <c:numRef>
              <c:f>('SimCCS Pipeline Model'!$I$38,'SimCCS Pipeline Model'!$K$38)</c:f>
              <c:numCache>
                <c:formatCode>0.00</c:formatCode>
                <c:ptCount val="2"/>
                <c:pt idx="0">
                  <c:v>1.0245338125080121</c:v>
                </c:pt>
                <c:pt idx="1">
                  <c:v>10.101063011089755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6-4558-B565-B70D576F0A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735768"/>
        <c:axId val="1"/>
      </c:scatterChart>
      <c:valAx>
        <c:axId val="1517735768"/>
        <c:scaling>
          <c:orientation val="minMax"/>
          <c:max val="3.2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 flow (MtCO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/yr)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333333"/>
                </a:solidFill>
                <a:latin typeface="Palatino Linotype"/>
                <a:ea typeface="Palatino Linotype"/>
                <a:cs typeface="Palatino Linotype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  <c:max val="0.85000000000000009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Cost ($M/km)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1517735768"/>
        <c:crosses val="autoZero"/>
        <c:crossBetween val="midCat"/>
        <c:majorUnit val="0.2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Palatino Linotype" panose="020405020505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v> ALl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'SimCCS Pipeline Model'!$C$22:$C$32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'SimCCS Pipeline Model'!$G$22:$G$32</c:f>
              <c:numCache>
                <c:formatCode>0.00</c:formatCode>
                <c:ptCount val="11"/>
                <c:pt idx="0">
                  <c:v>0.43235264746998181</c:v>
                </c:pt>
                <c:pt idx="1">
                  <c:v>0.49589154513252004</c:v>
                </c:pt>
                <c:pt idx="2">
                  <c:v>0.57963248738374906</c:v>
                </c:pt>
                <c:pt idx="3">
                  <c:v>0.81669260475192285</c:v>
                </c:pt>
                <c:pt idx="4">
                  <c:v>1.2188646197863366</c:v>
                </c:pt>
                <c:pt idx="5">
                  <c:v>1.7286536537763848</c:v>
                </c:pt>
                <c:pt idx="6">
                  <c:v>2.3937495829171391</c:v>
                </c:pt>
                <c:pt idx="7">
                  <c:v>3.5882571832844259</c:v>
                </c:pt>
                <c:pt idx="8">
                  <c:v>5.1318534354071801</c:v>
                </c:pt>
                <c:pt idx="9">
                  <c:v>7.0355495518167812</c:v>
                </c:pt>
                <c:pt idx="10">
                  <c:v>9.110379649081418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CE-4864-BFEC-96CD5917AE44}"/>
            </c:ext>
          </c:extLst>
        </c:ser>
        <c:ser>
          <c:idx val="0"/>
          <c:order val="1"/>
          <c:tx>
            <c:v> Piece #1</c:v>
          </c:tx>
          <c:spPr>
            <a:ln w="254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Model'!$H$37,'SimCCS Pipeline Model'!$J$37)</c:f>
              <c:numCache>
                <c:formatCode>0.00</c:formatCode>
                <c:ptCount val="2"/>
                <c:pt idx="0">
                  <c:v>0.1</c:v>
                </c:pt>
                <c:pt idx="1">
                  <c:v>12.26</c:v>
                </c:pt>
              </c:numCache>
            </c:numRef>
          </c:xVal>
          <c:yVal>
            <c:numRef>
              <c:f>('SimCCS Pipeline Model'!$I$37,'SimCCS Pipeline Model'!$K$37)</c:f>
              <c:numCache>
                <c:formatCode>0.00</c:formatCode>
                <c:ptCount val="2"/>
                <c:pt idx="0">
                  <c:v>0.44322704717127143</c:v>
                </c:pt>
                <c:pt idx="1">
                  <c:v>1.8503719304323654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CE-4864-BFEC-96CD5917AE44}"/>
            </c:ext>
          </c:extLst>
        </c:ser>
        <c:ser>
          <c:idx val="1"/>
          <c:order val="2"/>
          <c:tx>
            <c:v> Piece #2</c:v>
          </c:tx>
          <c:spPr>
            <a:ln w="254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('SimCCS Pipeline Model'!$H$38,'SimCCS Pipeline Model'!$J$38)</c:f>
              <c:numCache>
                <c:formatCode>0.00</c:formatCode>
                <c:ptCount val="2"/>
                <c:pt idx="0">
                  <c:v>3.25</c:v>
                </c:pt>
                <c:pt idx="1">
                  <c:v>119.16</c:v>
                </c:pt>
              </c:numCache>
            </c:numRef>
          </c:xVal>
          <c:yVal>
            <c:numRef>
              <c:f>('SimCCS Pipeline Model'!$I$38,'SimCCS Pipeline Model'!$K$38)</c:f>
              <c:numCache>
                <c:formatCode>0.00</c:formatCode>
                <c:ptCount val="2"/>
                <c:pt idx="0">
                  <c:v>1.0245338125080121</c:v>
                </c:pt>
                <c:pt idx="1">
                  <c:v>10.101063011089755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CE-4864-BFEC-96CD5917A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729208"/>
        <c:axId val="1"/>
      </c:scatterChart>
      <c:valAx>
        <c:axId val="1517729208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 flow (MtCO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/yr)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333333"/>
                </a:solidFill>
                <a:latin typeface="Palatino Linotype"/>
                <a:ea typeface="Palatino Linotype"/>
                <a:cs typeface="Palatino Linotype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Cost ($M/km)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151772920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Palatino Linotype" panose="020405020505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2"/>
          <c:order val="0"/>
          <c:tx>
            <c:v> ALl</c:v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/>
                </a:solidFill>
              </a:ln>
              <a:effectLst/>
            </c:spPr>
          </c:marker>
          <c:xVal>
            <c:numRef>
              <c:f>'SimCCS Pipeline Model'!$C$22:$C$32</c:f>
              <c:numCache>
                <c:formatCode>General</c:formatCode>
                <c:ptCount val="11"/>
                <c:pt idx="0">
                  <c:v>0.19</c:v>
                </c:pt>
                <c:pt idx="1">
                  <c:v>0.54</c:v>
                </c:pt>
                <c:pt idx="2">
                  <c:v>1.1299999999999999</c:v>
                </c:pt>
                <c:pt idx="3">
                  <c:v>3.25</c:v>
                </c:pt>
                <c:pt idx="4">
                  <c:v>6.86</c:v>
                </c:pt>
                <c:pt idx="5">
                  <c:v>12.26</c:v>
                </c:pt>
                <c:pt idx="6">
                  <c:v>19.690000000000001</c:v>
                </c:pt>
                <c:pt idx="7">
                  <c:v>35.130000000000003</c:v>
                </c:pt>
                <c:pt idx="8">
                  <c:v>56.46</c:v>
                </c:pt>
                <c:pt idx="9">
                  <c:v>83.95</c:v>
                </c:pt>
                <c:pt idx="10">
                  <c:v>119.16</c:v>
                </c:pt>
              </c:numCache>
            </c:numRef>
          </c:xVal>
          <c:yVal>
            <c:numRef>
              <c:f>'SimCCS Pipeline Model'!$G$22:$G$32</c:f>
              <c:numCache>
                <c:formatCode>0.00</c:formatCode>
                <c:ptCount val="11"/>
                <c:pt idx="0">
                  <c:v>0.43235264746998181</c:v>
                </c:pt>
                <c:pt idx="1">
                  <c:v>0.49589154513252004</c:v>
                </c:pt>
                <c:pt idx="2">
                  <c:v>0.57963248738374906</c:v>
                </c:pt>
                <c:pt idx="3">
                  <c:v>0.81669260475192285</c:v>
                </c:pt>
                <c:pt idx="4">
                  <c:v>1.2188646197863366</c:v>
                </c:pt>
                <c:pt idx="5">
                  <c:v>1.7286536537763848</c:v>
                </c:pt>
                <c:pt idx="6">
                  <c:v>2.3937495829171391</c:v>
                </c:pt>
                <c:pt idx="7">
                  <c:v>3.5882571832844259</c:v>
                </c:pt>
                <c:pt idx="8">
                  <c:v>5.1318534354071801</c:v>
                </c:pt>
                <c:pt idx="9">
                  <c:v>7.0355495518167812</c:v>
                </c:pt>
                <c:pt idx="10">
                  <c:v>9.110379649081418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AA-45C3-A48D-0715EDFCE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7737080"/>
        <c:axId val="1"/>
      </c:scatterChart>
      <c:valAx>
        <c:axId val="1517737080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 flow (MtCO</a:t>
                </a:r>
                <a:r>
                  <a:rPr lang="en-US" sz="2000" b="1" baseline="-25000"/>
                  <a:t>2</a:t>
                </a:r>
                <a:r>
                  <a:rPr lang="en-US" sz="2000" b="1"/>
                  <a:t>/yr)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600" b="0" i="0" u="none" strike="noStrike" baseline="0">
                <a:solidFill>
                  <a:srgbClr val="333333"/>
                </a:solidFill>
                <a:latin typeface="Palatino Linotype"/>
                <a:ea typeface="Palatino Linotype"/>
                <a:cs typeface="Palatino Linotype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2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Palatino Linotype" panose="02040502050505030304" pitchFamily="18" charset="0"/>
                    <a:ea typeface="+mn-ea"/>
                    <a:cs typeface="+mn-cs"/>
                  </a:defRPr>
                </a:pPr>
                <a:r>
                  <a:rPr lang="en-US" sz="2000" b="1"/>
                  <a:t>Cost ($M/km)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alatino Linotype" panose="02040502050505030304" pitchFamily="18" charset="0"/>
                <a:ea typeface="+mn-ea"/>
                <a:cs typeface="+mn-cs"/>
              </a:defRPr>
            </a:pPr>
            <a:endParaRPr lang="en-US"/>
          </a:p>
        </c:txPr>
        <c:crossAx val="1517737080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600">
          <a:latin typeface="Palatino Linotype" panose="0204050205050503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3" Type="http://schemas.openxmlformats.org/officeDocument/2006/relationships/chart" Target="../charts/chart7.xml"/><Relationship Id="rId7" Type="http://schemas.openxmlformats.org/officeDocument/2006/relationships/chart" Target="../charts/chart11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857250</xdr:colOff>
      <xdr:row>1</xdr:row>
      <xdr:rowOff>4762</xdr:rowOff>
    </xdr:from>
    <xdr:to>
      <xdr:col>14</xdr:col>
      <xdr:colOff>552450</xdr:colOff>
      <xdr:row>15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963E10-8EB7-4336-BF49-46AECF1982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914401</xdr:colOff>
      <xdr:row>15</xdr:row>
      <xdr:rowOff>290511</xdr:rowOff>
    </xdr:from>
    <xdr:to>
      <xdr:col>14</xdr:col>
      <xdr:colOff>600075</xdr:colOff>
      <xdr:row>31</xdr:row>
      <xdr:rowOff>47624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CD21AC3-9F2D-4659-BBE6-9EF2498409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152400</xdr:colOff>
      <xdr:row>13</xdr:row>
      <xdr:rowOff>100662</xdr:rowOff>
    </xdr:from>
    <xdr:to>
      <xdr:col>8</xdr:col>
      <xdr:colOff>327796</xdr:colOff>
      <xdr:row>35</xdr:row>
      <xdr:rowOff>123825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CFED407-B94F-4E39-BFC7-46FB51D466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76500" y="3205812"/>
          <a:ext cx="8033521" cy="4642788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15</xdr:col>
      <xdr:colOff>200025</xdr:colOff>
      <xdr:row>1</xdr:row>
      <xdr:rowOff>4763</xdr:rowOff>
    </xdr:from>
    <xdr:to>
      <xdr:col>23</xdr:col>
      <xdr:colOff>585788</xdr:colOff>
      <xdr:row>15</xdr:row>
      <xdr:rowOff>95251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4B3F08C-B606-4BE2-AED4-5A0F3DB98B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209550</xdr:colOff>
      <xdr:row>15</xdr:row>
      <xdr:rowOff>300036</xdr:rowOff>
    </xdr:from>
    <xdr:to>
      <xdr:col>24</xdr:col>
      <xdr:colOff>65088</xdr:colOff>
      <xdr:row>31</xdr:row>
      <xdr:rowOff>47624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6E0E9C9-9EC2-49DF-AAD9-DC040809C2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8</xdr:col>
      <xdr:colOff>2447925</xdr:colOff>
      <xdr:row>37</xdr:row>
      <xdr:rowOff>38100</xdr:rowOff>
    </xdr:from>
    <xdr:to>
      <xdr:col>17</xdr:col>
      <xdr:colOff>342900</xdr:colOff>
      <xdr:row>55</xdr:row>
      <xdr:rowOff>60502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0313B2D-C4E4-48AC-A99C-C9B8C8D9D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630150" y="8267700"/>
          <a:ext cx="5400675" cy="34514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404091</xdr:colOff>
      <xdr:row>19</xdr:row>
      <xdr:rowOff>184728</xdr:rowOff>
    </xdr:from>
    <xdr:to>
      <xdr:col>26</xdr:col>
      <xdr:colOff>271318</xdr:colOff>
      <xdr:row>41</xdr:row>
      <xdr:rowOff>64655</xdr:rowOff>
    </xdr:to>
    <xdr:graphicFrame macro="">
      <xdr:nvGraphicFramePr>
        <xdr:cNvPr id="2" name="Chart 19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0</xdr:colOff>
      <xdr:row>19</xdr:row>
      <xdr:rowOff>0</xdr:rowOff>
    </xdr:from>
    <xdr:to>
      <xdr:col>31</xdr:col>
      <xdr:colOff>571500</xdr:colOff>
      <xdr:row>40</xdr:row>
      <xdr:rowOff>76200</xdr:rowOff>
    </xdr:to>
    <xdr:graphicFrame macro="">
      <xdr:nvGraphicFramePr>
        <xdr:cNvPr id="3" name="Chart 2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0</xdr:colOff>
      <xdr:row>19</xdr:row>
      <xdr:rowOff>0</xdr:rowOff>
    </xdr:from>
    <xdr:to>
      <xdr:col>41</xdr:col>
      <xdr:colOff>571500</xdr:colOff>
      <xdr:row>40</xdr:row>
      <xdr:rowOff>76200</xdr:rowOff>
    </xdr:to>
    <xdr:graphicFrame macro="">
      <xdr:nvGraphicFramePr>
        <xdr:cNvPr id="4" name="Chart 2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0</xdr:colOff>
      <xdr:row>41</xdr:row>
      <xdr:rowOff>0</xdr:rowOff>
    </xdr:from>
    <xdr:to>
      <xdr:col>31</xdr:col>
      <xdr:colOff>571500</xdr:colOff>
      <xdr:row>63</xdr:row>
      <xdr:rowOff>76200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0</xdr:colOff>
      <xdr:row>41</xdr:row>
      <xdr:rowOff>0</xdr:rowOff>
    </xdr:from>
    <xdr:to>
      <xdr:col>21</xdr:col>
      <xdr:colOff>571500</xdr:colOff>
      <xdr:row>63</xdr:row>
      <xdr:rowOff>76200</xdr:rowOff>
    </xdr:to>
    <xdr:graphicFrame macro="">
      <xdr:nvGraphicFramePr>
        <xdr:cNvPr id="6" name="Chart 23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0</xdr:colOff>
      <xdr:row>41</xdr:row>
      <xdr:rowOff>0</xdr:rowOff>
    </xdr:from>
    <xdr:to>
      <xdr:col>41</xdr:col>
      <xdr:colOff>571500</xdr:colOff>
      <xdr:row>63</xdr:row>
      <xdr:rowOff>76200</xdr:rowOff>
    </xdr:to>
    <xdr:graphicFrame macro="">
      <xdr:nvGraphicFramePr>
        <xdr:cNvPr id="8" name="Chart 25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64</xdr:row>
      <xdr:rowOff>0</xdr:rowOff>
    </xdr:from>
    <xdr:to>
      <xdr:col>21</xdr:col>
      <xdr:colOff>571500</xdr:colOff>
      <xdr:row>86</xdr:row>
      <xdr:rowOff>76200</xdr:rowOff>
    </xdr:to>
    <xdr:graphicFrame macro="">
      <xdr:nvGraphicFramePr>
        <xdr:cNvPr id="9" name="Chart 23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0</xdr:colOff>
      <xdr:row>64</xdr:row>
      <xdr:rowOff>0</xdr:rowOff>
    </xdr:from>
    <xdr:to>
      <xdr:col>32</xdr:col>
      <xdr:colOff>571500</xdr:colOff>
      <xdr:row>86</xdr:row>
      <xdr:rowOff>76200</xdr:rowOff>
    </xdr:to>
    <xdr:graphicFrame macro="">
      <xdr:nvGraphicFramePr>
        <xdr:cNvPr id="10" name="Chart 23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273015</xdr:colOff>
      <xdr:row>39</xdr:row>
      <xdr:rowOff>1133</xdr:rowOff>
    </xdr:from>
    <xdr:to>
      <xdr:col>9</xdr:col>
      <xdr:colOff>198303</xdr:colOff>
      <xdr:row>44</xdr:row>
      <xdr:rowOff>113701</xdr:rowOff>
    </xdr:to>
    <xdr:sp macro="" textlink="">
      <xdr:nvSpPr>
        <xdr:cNvPr id="11" name="Left Arrow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 rot="2479854">
          <a:off x="3303697" y="6772542"/>
          <a:ext cx="2349833" cy="1065068"/>
        </a:xfrm>
        <a:prstGeom prst="leftArrow">
          <a:avLst/>
        </a:prstGeom>
        <a:solidFill>
          <a:srgbClr val="00B05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 b="1"/>
            <a:t>Linear</a:t>
          </a:r>
          <a:r>
            <a:rPr lang="en-US" sz="1200" b="1" baseline="0"/>
            <a:t> regression coefficients that </a:t>
          </a:r>
          <a:r>
            <a:rPr lang="en-US" sz="1200" b="1" i="1" baseline="0"/>
            <a:t>SimCCS</a:t>
          </a:r>
          <a:r>
            <a:rPr lang="en-US" sz="1200" b="1" baseline="0"/>
            <a:t> uses.</a:t>
          </a:r>
          <a:endParaRPr lang="en-US" sz="1200" b="1"/>
        </a:p>
      </xdr:txBody>
    </xdr:sp>
    <xdr:clientData/>
  </xdr:twoCellAnchor>
  <xdr:twoCellAnchor>
    <xdr:from>
      <xdr:col>3</xdr:col>
      <xdr:colOff>99833</xdr:colOff>
      <xdr:row>0</xdr:row>
      <xdr:rowOff>156996</xdr:rowOff>
    </xdr:from>
    <xdr:to>
      <xdr:col>7</xdr:col>
      <xdr:colOff>25121</xdr:colOff>
      <xdr:row>6</xdr:row>
      <xdr:rowOff>35768</xdr:rowOff>
    </xdr:to>
    <xdr:sp macro="" textlink="">
      <xdr:nvSpPr>
        <xdr:cNvPr id="14" name="Left Arrow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 rot="221023">
          <a:off x="2212651" y="156996"/>
          <a:ext cx="2742379" cy="1102590"/>
        </a:xfrm>
        <a:prstGeom prst="leftArrow">
          <a:avLst/>
        </a:prstGeom>
        <a:solidFill>
          <a:srgbClr val="00B05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200" b="1"/>
            <a:t>Linear</a:t>
          </a:r>
          <a:r>
            <a:rPr lang="en-US" sz="1200" b="1" baseline="0"/>
            <a:t> regression coefficients that </a:t>
          </a:r>
          <a:r>
            <a:rPr lang="en-US" sz="1200" b="1" i="1" baseline="0"/>
            <a:t>SimCCS</a:t>
          </a:r>
          <a:r>
            <a:rPr lang="en-US" sz="1200" b="1" baseline="0"/>
            <a:t> uses.</a:t>
          </a:r>
          <a:endParaRPr lang="en-US" sz="1200" b="1"/>
        </a:p>
      </xdr:txBody>
    </xdr:sp>
    <xdr:clientData/>
  </xdr:twoCellAnchor>
  <xdr:twoCellAnchor>
    <xdr:from>
      <xdr:col>2</xdr:col>
      <xdr:colOff>337704</xdr:colOff>
      <xdr:row>23</xdr:row>
      <xdr:rowOff>69273</xdr:rowOff>
    </xdr:from>
    <xdr:to>
      <xdr:col>6</xdr:col>
      <xdr:colOff>285750</xdr:colOff>
      <xdr:row>29</xdr:row>
      <xdr:rowOff>17318</xdr:rowOff>
    </xdr:to>
    <xdr:sp macro="" textlink="">
      <xdr:nvSpPr>
        <xdr:cNvPr id="7" name="Left-Right Arrow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549977" y="4727864"/>
          <a:ext cx="2372591" cy="1091045"/>
        </a:xfrm>
        <a:prstGeom prst="leftRightArrow">
          <a:avLst/>
        </a:prstGeom>
        <a:solidFill>
          <a:srgbClr val="00B050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rIns="0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Input data for transport</a:t>
          </a:r>
          <a:r>
            <a:rPr lang="en-US" sz="1200" b="1" baseline="0">
              <a:solidFill>
                <a:schemeClr val="bg1"/>
              </a:solidFill>
            </a:rPr>
            <a:t> (e.g., from FE/NETL model)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JM_Files/Projects/FY%202013/d9999%20Saline%20EOR%20Transport%20Models/CO2%20Saline%20Storage%20Cost%20Model/aa%20Cur%20Ver/NETL_CO2_Sal_Stor_Cost_Mod_2013_04_02%20dj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SimCCS/Pipelines/NETL/OPTIMIZED_NETL_CO2_Transport_Cost_Model_with_Network%20_rsm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_ME_FIRST"/>
      <sheetName val="Project_Management"/>
      <sheetName val="ResSum1"/>
      <sheetName val="ResSum"/>
      <sheetName val="CTUSInp1"/>
      <sheetName val="CTUSInp"/>
      <sheetName val="Plume&amp;Well Schedule"/>
      <sheetName val="Geo-Activity Interaction"/>
      <sheetName val="Geol Sal"/>
      <sheetName val="Geol DB Sal"/>
      <sheetName val="FinMod"/>
      <sheetName val="Cost Breakdown"/>
      <sheetName val="Update Tracker"/>
      <sheetName val="Activity_Inputs"/>
      <sheetName val="Back-End_Cost Items"/>
      <sheetName val="Site Data1"/>
      <sheetName val="Site Data 2"/>
      <sheetName val="Example cost"/>
      <sheetName val="Drilling Costs"/>
      <sheetName val="Document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57">
          <cell r="E57">
            <v>14500</v>
          </cell>
          <cell r="F57" t="str">
            <v>ft</v>
          </cell>
        </row>
        <row r="58">
          <cell r="E58">
            <v>14275</v>
          </cell>
          <cell r="F58" t="str">
            <v>ft</v>
          </cell>
        </row>
        <row r="60">
          <cell r="E60">
            <v>14050</v>
          </cell>
          <cell r="F60" t="str">
            <v>ft</v>
          </cell>
        </row>
        <row r="61">
          <cell r="E61">
            <v>13850</v>
          </cell>
          <cell r="F61" t="str">
            <v>ft</v>
          </cell>
        </row>
        <row r="62">
          <cell r="E62">
            <v>500</v>
          </cell>
          <cell r="F62" t="str">
            <v xml:space="preserve">Feet </v>
          </cell>
        </row>
        <row r="63">
          <cell r="E63">
            <v>40</v>
          </cell>
          <cell r="F63" t="str">
            <v xml:space="preserve">Feet </v>
          </cell>
        </row>
        <row r="65">
          <cell r="E65">
            <v>14275</v>
          </cell>
          <cell r="F65" t="str">
            <v>ft</v>
          </cell>
        </row>
        <row r="66">
          <cell r="E66">
            <v>14275</v>
          </cell>
          <cell r="F66" t="str">
            <v>ft</v>
          </cell>
        </row>
      </sheetData>
      <sheetData sheetId="8"/>
      <sheetData sheetId="9"/>
      <sheetData sheetId="10"/>
      <sheetData sheetId="11"/>
      <sheetData sheetId="12"/>
      <sheetData sheetId="13">
        <row r="9">
          <cell r="E9">
            <v>128.67599999999999</v>
          </cell>
          <cell r="F9" t="str">
            <v>$/Hour</v>
          </cell>
        </row>
        <row r="10">
          <cell r="E10">
            <v>132.744</v>
          </cell>
          <cell r="F10" t="str">
            <v>$/Hour</v>
          </cell>
        </row>
        <row r="11">
          <cell r="E11">
            <v>90</v>
          </cell>
          <cell r="F11" t="str">
            <v>$/Hour</v>
          </cell>
        </row>
        <row r="12">
          <cell r="E12">
            <v>60</v>
          </cell>
          <cell r="F12" t="str">
            <v>$/Hour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peline Network"/>
      <sheetName val="SimCCS"/>
      <sheetName val="Comparison"/>
      <sheetName val="READ_ME_FIRST"/>
      <sheetName val="Main"/>
      <sheetName val="Eng Mod"/>
      <sheetName val="PL Pressure Relation"/>
      <sheetName val="Cost Indices"/>
      <sheetName val="Pipe Cap"/>
      <sheetName val="Pipe Cap plot1"/>
      <sheetName val="Pipe Cap plot2"/>
      <sheetName val="Optimize step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3">
          <cell r="D13">
            <v>53</v>
          </cell>
          <cell r="E13" t="str">
            <v>°F</v>
          </cell>
        </row>
        <row r="16">
          <cell r="D16">
            <v>50</v>
          </cell>
          <cell r="E16" t="str">
            <v>mi</v>
          </cell>
        </row>
        <row r="17">
          <cell r="D17">
            <v>2200</v>
          </cell>
          <cell r="E17" t="str">
            <v>psig</v>
          </cell>
        </row>
        <row r="18">
          <cell r="D18">
            <v>1250</v>
          </cell>
        </row>
        <row r="22">
          <cell r="D22">
            <v>1</v>
          </cell>
        </row>
        <row r="48">
          <cell r="G48">
            <v>30</v>
          </cell>
        </row>
        <row r="51">
          <cell r="D51">
            <v>13128.499705798338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5ADB5-9DC8-484C-B068-DB8BD37091E7}">
  <dimension ref="A1:O36"/>
  <sheetViews>
    <sheetView tabSelected="1" workbookViewId="0">
      <selection activeCell="H7" sqref="H7"/>
    </sheetView>
  </sheetViews>
  <sheetFormatPr defaultRowHeight="15" x14ac:dyDescent="0.25"/>
  <cols>
    <col min="1" max="1" width="21.140625" bestFit="1" customWidth="1"/>
    <col min="2" max="2" width="13.7109375" customWidth="1"/>
    <col min="3" max="3" width="19.140625" customWidth="1"/>
    <col min="4" max="4" width="27.7109375" bestFit="1" customWidth="1"/>
    <col min="5" max="5" width="19.7109375" customWidth="1"/>
    <col min="6" max="6" width="33" customWidth="1"/>
    <col min="9" max="9" width="39.42578125" customWidth="1"/>
  </cols>
  <sheetData>
    <row r="1" spans="1:6" ht="33.75" customHeight="1" thickBot="1" x14ac:dyDescent="0.3">
      <c r="A1" s="109" t="s">
        <v>85</v>
      </c>
      <c r="B1" s="110"/>
      <c r="C1" s="110"/>
      <c r="D1" s="110"/>
      <c r="E1" s="110"/>
      <c r="F1" s="111"/>
    </row>
    <row r="2" spans="1:6" ht="54" x14ac:dyDescent="0.25">
      <c r="A2" s="112" t="s">
        <v>0</v>
      </c>
      <c r="B2" s="113" t="s">
        <v>79</v>
      </c>
      <c r="C2" s="113" t="s">
        <v>82</v>
      </c>
      <c r="D2" s="114" t="s">
        <v>83</v>
      </c>
      <c r="E2" s="115" t="s">
        <v>77</v>
      </c>
      <c r="F2" s="116" t="s">
        <v>78</v>
      </c>
    </row>
    <row r="3" spans="1:6" x14ac:dyDescent="0.25">
      <c r="A3" s="65">
        <v>1</v>
      </c>
      <c r="B3" s="57">
        <v>0.19</v>
      </c>
      <c r="C3" s="57">
        <v>1.2381480272646111E-2</v>
      </c>
      <c r="D3" s="103">
        <v>1.0685656015894468E-2</v>
      </c>
      <c r="E3" s="107">
        <f>C3+B3*D3</f>
        <v>1.4411754915666059E-2</v>
      </c>
      <c r="F3" s="105">
        <f>E3/B3</f>
        <v>7.5851341661400312E-2</v>
      </c>
    </row>
    <row r="4" spans="1:6" x14ac:dyDescent="0.25">
      <c r="A4" s="65">
        <v>2</v>
      </c>
      <c r="B4" s="57">
        <v>0.54</v>
      </c>
      <c r="C4" s="57">
        <v>1.409940018216101E-2</v>
      </c>
      <c r="D4" s="103">
        <v>4.5005888683759101E-3</v>
      </c>
      <c r="E4" s="107">
        <f t="shared" ref="E4:E13" si="0">C4+B4*D4</f>
        <v>1.6529718171084E-2</v>
      </c>
      <c r="F4" s="105">
        <f t="shared" ref="F4:F13" si="1">E4/B4</f>
        <v>3.0610589205711108E-2</v>
      </c>
    </row>
    <row r="5" spans="1:6" x14ac:dyDescent="0.25">
      <c r="A5" s="65">
        <v>3</v>
      </c>
      <c r="B5" s="57">
        <v>1.1299999999999999</v>
      </c>
      <c r="C5" s="57">
        <v>1.6216406140774943E-2</v>
      </c>
      <c r="D5" s="103">
        <v>2.7475015681563647E-3</v>
      </c>
      <c r="E5" s="107">
        <f t="shared" si="0"/>
        <v>1.9321082912791634E-2</v>
      </c>
      <c r="F5" s="105">
        <f t="shared" si="1"/>
        <v>1.7098303462647464E-2</v>
      </c>
    </row>
    <row r="6" spans="1:6" x14ac:dyDescent="0.25">
      <c r="A6" s="65">
        <v>4</v>
      </c>
      <c r="B6" s="57">
        <v>3.25</v>
      </c>
      <c r="C6" s="57">
        <v>2.1695290357863262E-2</v>
      </c>
      <c r="D6" s="103">
        <v>1.7008604514464102E-3</v>
      </c>
      <c r="E6" s="107">
        <f t="shared" si="0"/>
        <v>2.7223086825064094E-2</v>
      </c>
      <c r="F6" s="105">
        <f t="shared" si="1"/>
        <v>8.3763344077120282E-3</v>
      </c>
    </row>
    <row r="7" spans="1:6" x14ac:dyDescent="0.25">
      <c r="A7" s="65">
        <v>5</v>
      </c>
      <c r="B7" s="57">
        <v>6.86</v>
      </c>
      <c r="C7" s="57">
        <v>3.0974862824600918E-2</v>
      </c>
      <c r="D7" s="103">
        <v>1.4072824832279355E-3</v>
      </c>
      <c r="E7" s="107">
        <f t="shared" si="0"/>
        <v>4.0628820659544554E-2</v>
      </c>
      <c r="F7" s="105">
        <f t="shared" si="1"/>
        <v>5.9225686092630545E-3</v>
      </c>
    </row>
    <row r="8" spans="1:6" x14ac:dyDescent="0.25">
      <c r="A8" s="65">
        <v>6</v>
      </c>
      <c r="B8" s="57">
        <v>12.26</v>
      </c>
      <c r="C8" s="57">
        <v>4.1795733287479382E-2</v>
      </c>
      <c r="D8" s="103">
        <v>1.2908691004676549E-3</v>
      </c>
      <c r="E8" s="107">
        <f t="shared" si="0"/>
        <v>5.7621788459212828E-2</v>
      </c>
      <c r="F8" s="105">
        <f t="shared" si="1"/>
        <v>4.6999827454496596E-3</v>
      </c>
    </row>
    <row r="9" spans="1:6" x14ac:dyDescent="0.25">
      <c r="A9" s="65">
        <v>7</v>
      </c>
      <c r="B9" s="57">
        <v>19.690000000000001</v>
      </c>
      <c r="C9" s="57">
        <v>5.5473248849143751E-2</v>
      </c>
      <c r="D9" s="103">
        <v>1.2350636828217818E-3</v>
      </c>
      <c r="E9" s="107">
        <f t="shared" si="0"/>
        <v>7.9791652763904639E-2</v>
      </c>
      <c r="F9" s="105">
        <f t="shared" si="1"/>
        <v>4.05239475692761E-3</v>
      </c>
    </row>
    <row r="10" spans="1:6" x14ac:dyDescent="0.25">
      <c r="A10" s="65">
        <v>8</v>
      </c>
      <c r="B10" s="57">
        <v>35.130000000000003</v>
      </c>
      <c r="C10" s="57">
        <v>7.7642542402120984E-2</v>
      </c>
      <c r="D10" s="103">
        <v>1.1945923818396397E-3</v>
      </c>
      <c r="E10" s="107">
        <f t="shared" si="0"/>
        <v>0.11960857277614753</v>
      </c>
      <c r="F10" s="105">
        <f t="shared" si="1"/>
        <v>3.4047416104795764E-3</v>
      </c>
    </row>
    <row r="11" spans="1:6" x14ac:dyDescent="0.25">
      <c r="A11" s="65">
        <v>9</v>
      </c>
      <c r="B11" s="57">
        <v>56.46</v>
      </c>
      <c r="C11" s="57">
        <v>0.10471596632589307</v>
      </c>
      <c r="D11" s="103">
        <v>1.1750941348626686E-3</v>
      </c>
      <c r="E11" s="107">
        <f t="shared" si="0"/>
        <v>0.17106178118023935</v>
      </c>
      <c r="F11" s="105">
        <f t="shared" si="1"/>
        <v>3.0297871268196836E-3</v>
      </c>
    </row>
    <row r="12" spans="1:6" x14ac:dyDescent="0.25">
      <c r="A12" s="65">
        <v>10</v>
      </c>
      <c r="B12" s="57">
        <v>83.95</v>
      </c>
      <c r="C12" s="57">
        <v>0.13675195617133318</v>
      </c>
      <c r="D12" s="103">
        <v>1.1645784660221504E-3</v>
      </c>
      <c r="E12" s="107">
        <f t="shared" si="0"/>
        <v>0.2345183183938927</v>
      </c>
      <c r="F12" s="105">
        <f t="shared" si="1"/>
        <v>2.7935475687181975E-3</v>
      </c>
    </row>
    <row r="13" spans="1:6" ht="15.75" thickBot="1" x14ac:dyDescent="0.3">
      <c r="A13" s="67">
        <v>11</v>
      </c>
      <c r="B13" s="68">
        <v>119.16</v>
      </c>
      <c r="C13" s="68">
        <v>0.17274768636740584</v>
      </c>
      <c r="D13" s="104">
        <v>1.0987884799315327E-3</v>
      </c>
      <c r="E13" s="108">
        <f t="shared" si="0"/>
        <v>0.30367932163604727</v>
      </c>
      <c r="F13" s="106">
        <f t="shared" si="1"/>
        <v>2.5485005172545087E-3</v>
      </c>
    </row>
    <row r="14" spans="1:6" ht="15.75" thickBot="1" x14ac:dyDescent="0.3"/>
    <row r="15" spans="1:6" x14ac:dyDescent="0.25">
      <c r="A15" s="70" t="s">
        <v>65</v>
      </c>
      <c r="B15" s="72"/>
    </row>
    <row r="16" spans="1:6" ht="30" x14ac:dyDescent="0.25">
      <c r="A16" s="101" t="s">
        <v>70</v>
      </c>
      <c r="B16" s="102" t="s">
        <v>80</v>
      </c>
    </row>
    <row r="17" spans="1:2" x14ac:dyDescent="0.25">
      <c r="A17" s="58" t="s">
        <v>66</v>
      </c>
      <c r="B17" s="60">
        <v>2.3E-2</v>
      </c>
    </row>
    <row r="18" spans="1:2" x14ac:dyDescent="0.25">
      <c r="A18" s="58" t="s">
        <v>67</v>
      </c>
      <c r="B18" s="60">
        <v>2.0699999999999998</v>
      </c>
    </row>
    <row r="19" spans="1:2" x14ac:dyDescent="0.25">
      <c r="A19" s="58" t="s">
        <v>68</v>
      </c>
      <c r="B19" s="61">
        <v>0.34200000000000003</v>
      </c>
    </row>
    <row r="20" spans="1:2" ht="15.75" thickBot="1" x14ac:dyDescent="0.3">
      <c r="A20" s="62" t="s">
        <v>69</v>
      </c>
      <c r="B20" s="63">
        <v>0.161</v>
      </c>
    </row>
    <row r="21" spans="1:2" ht="15.75" thickBot="1" x14ac:dyDescent="0.3"/>
    <row r="22" spans="1:2" x14ac:dyDescent="0.25">
      <c r="A22" s="70" t="s">
        <v>75</v>
      </c>
      <c r="B22" s="72"/>
    </row>
    <row r="23" spans="1:2" ht="30" x14ac:dyDescent="0.25">
      <c r="A23" s="101" t="s">
        <v>70</v>
      </c>
      <c r="B23" s="102" t="s">
        <v>81</v>
      </c>
    </row>
    <row r="24" spans="1:2" x14ac:dyDescent="0.25">
      <c r="A24" s="58" t="s">
        <v>66</v>
      </c>
      <c r="B24" s="60">
        <v>0.4</v>
      </c>
    </row>
    <row r="25" spans="1:2" ht="15.75" thickBot="1" x14ac:dyDescent="0.3">
      <c r="A25" s="62" t="s">
        <v>67</v>
      </c>
      <c r="B25" s="69">
        <v>0.8</v>
      </c>
    </row>
    <row r="33" spans="10:15" ht="15.75" thickBot="1" x14ac:dyDescent="0.3"/>
    <row r="34" spans="10:15" x14ac:dyDescent="0.25">
      <c r="J34" s="117" t="s">
        <v>84</v>
      </c>
      <c r="K34" s="118"/>
      <c r="L34" s="118"/>
      <c r="M34" s="118"/>
      <c r="N34" s="118"/>
      <c r="O34" s="119"/>
    </row>
    <row r="35" spans="10:15" x14ac:dyDescent="0.25">
      <c r="J35" s="120"/>
      <c r="K35" s="121"/>
      <c r="L35" s="121"/>
      <c r="M35" s="121"/>
      <c r="N35" s="121"/>
      <c r="O35" s="122"/>
    </row>
    <row r="36" spans="10:15" ht="15.75" thickBot="1" x14ac:dyDescent="0.3">
      <c r="J36" s="123"/>
      <c r="K36" s="124"/>
      <c r="L36" s="124"/>
      <c r="M36" s="124"/>
      <c r="N36" s="124"/>
      <c r="O36" s="125"/>
    </row>
  </sheetData>
  <mergeCells count="4">
    <mergeCell ref="A15:B15"/>
    <mergeCell ref="A22:B22"/>
    <mergeCell ref="A1:F1"/>
    <mergeCell ref="J34:O36"/>
  </mergeCells>
  <pageMargins left="0.7" right="0.7" top="0.75" bottom="0.75" header="0.3" footer="0.3"/>
  <pageSetup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43E6C-0840-41E2-9EDF-E7AAFE76CDE6}">
  <dimension ref="A1:D25"/>
  <sheetViews>
    <sheetView workbookViewId="0">
      <selection activeCell="E23" sqref="E23"/>
    </sheetView>
  </sheetViews>
  <sheetFormatPr defaultRowHeight="15" x14ac:dyDescent="0.25"/>
  <cols>
    <col min="1" max="1" width="21.140625" bestFit="1" customWidth="1"/>
    <col min="2" max="2" width="17.42578125" customWidth="1"/>
    <col min="3" max="3" width="22" customWidth="1"/>
    <col min="4" max="4" width="35.42578125" customWidth="1"/>
    <col min="10" max="10" width="20.42578125" customWidth="1"/>
    <col min="11" max="11" width="39.42578125" customWidth="1"/>
  </cols>
  <sheetData>
    <row r="1" spans="1:4" x14ac:dyDescent="0.25">
      <c r="A1" s="70" t="s">
        <v>64</v>
      </c>
      <c r="B1" s="71"/>
      <c r="C1" s="71"/>
      <c r="D1" s="72"/>
    </row>
    <row r="2" spans="1:4" ht="75" x14ac:dyDescent="0.25">
      <c r="A2" s="65" t="s">
        <v>0</v>
      </c>
      <c r="B2" s="64" t="s">
        <v>72</v>
      </c>
      <c r="C2" s="64" t="s">
        <v>73</v>
      </c>
      <c r="D2" s="66" t="s">
        <v>74</v>
      </c>
    </row>
    <row r="3" spans="1:4" x14ac:dyDescent="0.25">
      <c r="A3" s="65">
        <v>1</v>
      </c>
      <c r="B3" s="57">
        <v>0.19</v>
      </c>
      <c r="C3" s="57">
        <v>0.37144440817938335</v>
      </c>
      <c r="D3" s="61">
        <v>1.0685656015894468E-2</v>
      </c>
    </row>
    <row r="4" spans="1:4" x14ac:dyDescent="0.25">
      <c r="A4" s="65">
        <v>2</v>
      </c>
      <c r="B4" s="57">
        <v>0.54</v>
      </c>
      <c r="C4" s="57">
        <v>0.42298200546483028</v>
      </c>
      <c r="D4" s="61">
        <v>4.5005888683759101E-3</v>
      </c>
    </row>
    <row r="5" spans="1:4" x14ac:dyDescent="0.25">
      <c r="A5" s="65">
        <v>3</v>
      </c>
      <c r="B5" s="57">
        <v>1.1299999999999999</v>
      </c>
      <c r="C5" s="57">
        <v>0.4864921842232483</v>
      </c>
      <c r="D5" s="61">
        <v>2.7475015681563647E-3</v>
      </c>
    </row>
    <row r="6" spans="1:4" x14ac:dyDescent="0.25">
      <c r="A6" s="65">
        <v>4</v>
      </c>
      <c r="B6" s="57">
        <v>3.25</v>
      </c>
      <c r="C6" s="57">
        <v>0.65085871073589785</v>
      </c>
      <c r="D6" s="61">
        <v>1.7008604514464102E-3</v>
      </c>
    </row>
    <row r="7" spans="1:4" x14ac:dyDescent="0.25">
      <c r="A7" s="65">
        <v>5</v>
      </c>
      <c r="B7" s="57">
        <v>6.86</v>
      </c>
      <c r="C7" s="57">
        <v>0.92924588473802749</v>
      </c>
      <c r="D7" s="61">
        <v>1.4072824832279355E-3</v>
      </c>
    </row>
    <row r="8" spans="1:4" x14ac:dyDescent="0.25">
      <c r="A8" s="65">
        <v>6</v>
      </c>
      <c r="B8" s="57">
        <v>12.26</v>
      </c>
      <c r="C8" s="57">
        <v>1.2538719986243814</v>
      </c>
      <c r="D8" s="61">
        <v>1.2908691004676549E-3</v>
      </c>
    </row>
    <row r="9" spans="1:4" x14ac:dyDescent="0.25">
      <c r="A9" s="65">
        <v>7</v>
      </c>
      <c r="B9" s="57">
        <v>19.690000000000001</v>
      </c>
      <c r="C9" s="57">
        <v>1.6641974654743126</v>
      </c>
      <c r="D9" s="61">
        <v>1.2350636828217818E-3</v>
      </c>
    </row>
    <row r="10" spans="1:4" x14ac:dyDescent="0.25">
      <c r="A10" s="65">
        <v>8</v>
      </c>
      <c r="B10" s="57">
        <v>35.130000000000003</v>
      </c>
      <c r="C10" s="57">
        <v>2.3292762720636295</v>
      </c>
      <c r="D10" s="61">
        <v>1.1945923818396397E-3</v>
      </c>
    </row>
    <row r="11" spans="1:4" x14ac:dyDescent="0.25">
      <c r="A11" s="65">
        <v>9</v>
      </c>
      <c r="B11" s="57">
        <v>56.46</v>
      </c>
      <c r="C11" s="57">
        <v>3.1414789897767923</v>
      </c>
      <c r="D11" s="61">
        <v>1.1750941348626686E-3</v>
      </c>
    </row>
    <row r="12" spans="1:4" x14ac:dyDescent="0.25">
      <c r="A12" s="65">
        <v>10</v>
      </c>
      <c r="B12" s="57">
        <v>83.95</v>
      </c>
      <c r="C12" s="57">
        <v>4.1025586851399956</v>
      </c>
      <c r="D12" s="61">
        <v>1.1645784660221504E-3</v>
      </c>
    </row>
    <row r="13" spans="1:4" ht="15.75" thickBot="1" x14ac:dyDescent="0.3">
      <c r="A13" s="67">
        <v>11</v>
      </c>
      <c r="B13" s="68">
        <v>119.16</v>
      </c>
      <c r="C13" s="68">
        <v>5.1824305910221753</v>
      </c>
      <c r="D13" s="63">
        <v>1.0987884799315327E-3</v>
      </c>
    </row>
    <row r="14" spans="1:4" ht="15.75" thickBot="1" x14ac:dyDescent="0.3"/>
    <row r="15" spans="1:4" x14ac:dyDescent="0.25">
      <c r="A15" s="70" t="s">
        <v>65</v>
      </c>
      <c r="B15" s="72"/>
    </row>
    <row r="16" spans="1:4" ht="45" x14ac:dyDescent="0.25">
      <c r="A16" s="58" t="s">
        <v>70</v>
      </c>
      <c r="B16" s="59" t="s">
        <v>71</v>
      </c>
    </row>
    <row r="17" spans="1:2" x14ac:dyDescent="0.25">
      <c r="A17" s="58" t="s">
        <v>66</v>
      </c>
      <c r="B17" s="60">
        <v>2.3E-2</v>
      </c>
    </row>
    <row r="18" spans="1:2" x14ac:dyDescent="0.25">
      <c r="A18" s="58" t="s">
        <v>67</v>
      </c>
      <c r="B18" s="60">
        <v>2.0699999999999998</v>
      </c>
    </row>
    <row r="19" spans="1:2" x14ac:dyDescent="0.25">
      <c r="A19" s="58" t="s">
        <v>68</v>
      </c>
      <c r="B19" s="61">
        <v>0.34200000000000003</v>
      </c>
    </row>
    <row r="20" spans="1:2" ht="15.75" thickBot="1" x14ac:dyDescent="0.3">
      <c r="A20" s="62" t="s">
        <v>69</v>
      </c>
      <c r="B20" s="63">
        <v>0.161</v>
      </c>
    </row>
    <row r="21" spans="1:2" ht="15.75" thickBot="1" x14ac:dyDescent="0.3"/>
    <row r="22" spans="1:2" x14ac:dyDescent="0.25">
      <c r="A22" s="70" t="s">
        <v>75</v>
      </c>
      <c r="B22" s="72"/>
    </row>
    <row r="23" spans="1:2" ht="30" x14ac:dyDescent="0.25">
      <c r="A23" s="58" t="s">
        <v>70</v>
      </c>
      <c r="B23" s="59" t="s">
        <v>76</v>
      </c>
    </row>
    <row r="24" spans="1:2" x14ac:dyDescent="0.25">
      <c r="A24" s="58" t="s">
        <v>66</v>
      </c>
      <c r="B24" s="60">
        <v>12</v>
      </c>
    </row>
    <row r="25" spans="1:2" ht="15.75" thickBot="1" x14ac:dyDescent="0.3">
      <c r="A25" s="62" t="s">
        <v>67</v>
      </c>
      <c r="B25" s="69">
        <v>24</v>
      </c>
    </row>
  </sheetData>
  <mergeCells count="3">
    <mergeCell ref="A1:D1"/>
    <mergeCell ref="A15:B15"/>
    <mergeCell ref="A22:B22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AI41"/>
  <sheetViews>
    <sheetView topLeftCell="A13" zoomScale="110" zoomScaleNormal="110" workbookViewId="0">
      <selection activeCell="L32" sqref="L32"/>
    </sheetView>
  </sheetViews>
  <sheetFormatPr defaultColWidth="9.140625" defaultRowHeight="15" x14ac:dyDescent="0.25"/>
  <cols>
    <col min="1" max="2" width="9.140625" style="2"/>
    <col min="3" max="3" width="12.7109375" style="2" bestFit="1" customWidth="1"/>
    <col min="4" max="4" width="15.28515625" style="2" bestFit="1" customWidth="1"/>
    <col min="5" max="5" width="24.42578125" style="2" bestFit="1" customWidth="1"/>
    <col min="6" max="6" width="9.140625" style="2"/>
    <col min="7" max="7" width="17.85546875" style="2" bestFit="1" customWidth="1"/>
    <col min="8" max="16384" width="9.140625" style="2"/>
  </cols>
  <sheetData>
    <row r="1" spans="1:35" ht="15.75" thickBot="1" x14ac:dyDescent="0.3">
      <c r="A1" s="38" t="s">
        <v>0</v>
      </c>
      <c r="B1" s="40" t="s">
        <v>55</v>
      </c>
      <c r="C1" s="40" t="s">
        <v>56</v>
      </c>
    </row>
    <row r="2" spans="1:35" ht="15.75" thickTop="1" x14ac:dyDescent="0.25">
      <c r="A2" s="39">
        <v>1</v>
      </c>
      <c r="B2" s="41">
        <v>0.11571915200000001</v>
      </c>
      <c r="C2" s="42">
        <v>0.431655132</v>
      </c>
      <c r="D2" s="4"/>
    </row>
    <row r="3" spans="1:35" ht="15.75" thickBot="1" x14ac:dyDescent="0.3">
      <c r="A3" s="39">
        <v>2</v>
      </c>
      <c r="B3" s="43">
        <v>7.8306696999999995E-2</v>
      </c>
      <c r="C3" s="44">
        <v>0.77003704900000003</v>
      </c>
      <c r="D3" s="4"/>
    </row>
    <row r="4" spans="1:35" ht="15.75" thickTop="1" x14ac:dyDescent="0.25">
      <c r="B4" s="33"/>
      <c r="C4" s="33"/>
    </row>
    <row r="5" spans="1:35" x14ac:dyDescent="0.25">
      <c r="B5" s="85" t="s">
        <v>58</v>
      </c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7"/>
    </row>
    <row r="7" spans="1:35" ht="18.75" x14ac:dyDescent="0.25">
      <c r="B7" s="1" t="s">
        <v>2</v>
      </c>
    </row>
    <row r="8" spans="1:35" ht="15.75" x14ac:dyDescent="0.25">
      <c r="B8" s="88" t="s">
        <v>3</v>
      </c>
      <c r="C8" s="89"/>
      <c r="D8" s="90"/>
      <c r="E8" s="3"/>
      <c r="F8" s="4"/>
      <c r="G8" s="3"/>
      <c r="H8" s="5"/>
      <c r="I8" s="5"/>
      <c r="J8" s="5"/>
      <c r="K8" s="5"/>
      <c r="L8" s="5"/>
      <c r="M8" s="5"/>
      <c r="N8" s="5"/>
      <c r="O8" s="5"/>
      <c r="P8" s="4"/>
      <c r="Q8" s="3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4"/>
    </row>
    <row r="9" spans="1:35" ht="15.75" x14ac:dyDescent="0.25">
      <c r="B9" s="91"/>
      <c r="C9" s="92"/>
      <c r="D9" s="93"/>
      <c r="E9" s="94" t="s">
        <v>4</v>
      </c>
      <c r="F9" s="95"/>
      <c r="G9" s="94" t="s">
        <v>5</v>
      </c>
      <c r="H9" s="96"/>
      <c r="I9" s="96"/>
      <c r="J9" s="96"/>
      <c r="K9" s="96"/>
      <c r="L9" s="97"/>
      <c r="M9" s="97"/>
      <c r="N9" s="97"/>
      <c r="O9" s="97"/>
      <c r="P9" s="98"/>
      <c r="Q9" s="94" t="s">
        <v>6</v>
      </c>
      <c r="R9" s="96"/>
      <c r="S9" s="96"/>
      <c r="T9" s="96"/>
      <c r="U9" s="96"/>
      <c r="V9" s="97"/>
      <c r="W9" s="97"/>
      <c r="X9" s="97"/>
      <c r="Y9" s="97"/>
      <c r="Z9" s="97"/>
      <c r="AA9" s="89"/>
      <c r="AB9" s="89"/>
      <c r="AC9" s="89"/>
      <c r="AD9" s="89"/>
      <c r="AE9" s="89"/>
      <c r="AF9" s="89"/>
      <c r="AG9" s="89"/>
      <c r="AH9" s="89"/>
      <c r="AI9" s="90"/>
    </row>
    <row r="10" spans="1:35" x14ac:dyDescent="0.25">
      <c r="B10" s="73" t="s">
        <v>7</v>
      </c>
      <c r="C10" s="74"/>
      <c r="D10" s="75"/>
      <c r="E10" s="76" t="s">
        <v>8</v>
      </c>
      <c r="F10" s="77"/>
      <c r="G10" s="78" t="s">
        <v>9</v>
      </c>
      <c r="H10" s="79"/>
      <c r="I10" s="79"/>
      <c r="J10" s="79"/>
      <c r="K10" s="79"/>
      <c r="L10" s="79"/>
      <c r="M10" s="79"/>
      <c r="N10" s="79"/>
      <c r="O10" s="79"/>
      <c r="P10" s="80"/>
      <c r="Q10" s="78" t="s">
        <v>10</v>
      </c>
      <c r="R10" s="81"/>
      <c r="S10" s="81"/>
      <c r="T10" s="81"/>
      <c r="U10" s="81"/>
      <c r="V10" s="82"/>
      <c r="W10" s="82"/>
      <c r="X10" s="82"/>
      <c r="Y10" s="82"/>
      <c r="Z10" s="82"/>
      <c r="AA10" s="83"/>
      <c r="AB10" s="83"/>
      <c r="AC10" s="83"/>
      <c r="AD10" s="83"/>
      <c r="AE10" s="83"/>
      <c r="AF10" s="83"/>
      <c r="AG10" s="83"/>
      <c r="AH10" s="83"/>
      <c r="AI10" s="84"/>
    </row>
    <row r="11" spans="1:35" x14ac:dyDescent="0.25">
      <c r="B11" s="73" t="s">
        <v>11</v>
      </c>
      <c r="C11" s="74"/>
      <c r="D11" s="75"/>
      <c r="E11" s="76" t="s">
        <v>12</v>
      </c>
      <c r="F11" s="77"/>
      <c r="G11" s="78" t="s">
        <v>13</v>
      </c>
      <c r="H11" s="79"/>
      <c r="I11" s="79"/>
      <c r="J11" s="79"/>
      <c r="K11" s="79"/>
      <c r="L11" s="79"/>
      <c r="M11" s="79"/>
      <c r="N11" s="79"/>
      <c r="O11" s="79"/>
      <c r="P11" s="80"/>
      <c r="Q11" s="78" t="s">
        <v>10</v>
      </c>
      <c r="R11" s="81"/>
      <c r="S11" s="81"/>
      <c r="T11" s="81"/>
      <c r="U11" s="81"/>
      <c r="V11" s="82"/>
      <c r="W11" s="82"/>
      <c r="X11" s="82"/>
      <c r="Y11" s="82"/>
      <c r="Z11" s="82"/>
      <c r="AA11" s="83"/>
      <c r="AB11" s="83"/>
      <c r="AC11" s="83"/>
      <c r="AD11" s="83"/>
      <c r="AE11" s="83"/>
      <c r="AF11" s="83"/>
      <c r="AG11" s="83"/>
      <c r="AH11" s="83"/>
      <c r="AI11" s="84"/>
    </row>
    <row r="12" spans="1:35" x14ac:dyDescent="0.25">
      <c r="B12" s="73" t="s">
        <v>14</v>
      </c>
      <c r="C12" s="74"/>
      <c r="D12" s="75"/>
      <c r="E12" s="76" t="s">
        <v>15</v>
      </c>
      <c r="F12" s="77"/>
      <c r="G12" s="78" t="s">
        <v>13</v>
      </c>
      <c r="H12" s="79"/>
      <c r="I12" s="79"/>
      <c r="J12" s="79"/>
      <c r="K12" s="79"/>
      <c r="L12" s="79"/>
      <c r="M12" s="79"/>
      <c r="N12" s="79"/>
      <c r="O12" s="79"/>
      <c r="P12" s="80"/>
      <c r="Q12" s="78" t="s">
        <v>10</v>
      </c>
      <c r="R12" s="81"/>
      <c r="S12" s="81"/>
      <c r="T12" s="81"/>
      <c r="U12" s="81"/>
      <c r="V12" s="82"/>
      <c r="W12" s="82"/>
      <c r="X12" s="82"/>
      <c r="Y12" s="82"/>
      <c r="Z12" s="82"/>
      <c r="AA12" s="83"/>
      <c r="AB12" s="83"/>
      <c r="AC12" s="83"/>
      <c r="AD12" s="83"/>
      <c r="AE12" s="83"/>
      <c r="AF12" s="83"/>
      <c r="AG12" s="83"/>
      <c r="AH12" s="83"/>
      <c r="AI12" s="84"/>
    </row>
    <row r="13" spans="1:35" x14ac:dyDescent="0.25">
      <c r="B13" s="73" t="s">
        <v>16</v>
      </c>
      <c r="C13" s="74"/>
      <c r="D13" s="75"/>
      <c r="E13" s="76">
        <v>2</v>
      </c>
      <c r="F13" s="77"/>
      <c r="G13" s="78" t="s">
        <v>9</v>
      </c>
      <c r="H13" s="79"/>
      <c r="I13" s="79"/>
      <c r="J13" s="79"/>
      <c r="K13" s="79"/>
      <c r="L13" s="79"/>
      <c r="M13" s="79"/>
      <c r="N13" s="79"/>
      <c r="O13" s="79"/>
      <c r="P13" s="80"/>
      <c r="Q13" s="78" t="s">
        <v>10</v>
      </c>
      <c r="R13" s="81"/>
      <c r="S13" s="81"/>
      <c r="T13" s="81"/>
      <c r="U13" s="81"/>
      <c r="V13" s="82"/>
      <c r="W13" s="82"/>
      <c r="X13" s="82"/>
      <c r="Y13" s="82"/>
      <c r="Z13" s="82"/>
      <c r="AA13" s="83"/>
      <c r="AB13" s="83"/>
      <c r="AC13" s="83"/>
      <c r="AD13" s="83"/>
      <c r="AE13" s="83"/>
      <c r="AF13" s="83"/>
      <c r="AG13" s="83"/>
      <c r="AH13" s="83"/>
      <c r="AI13" s="84"/>
    </row>
    <row r="14" spans="1:35" x14ac:dyDescent="0.25">
      <c r="B14" s="73" t="s">
        <v>17</v>
      </c>
      <c r="C14" s="74"/>
      <c r="D14" s="75"/>
      <c r="E14" s="76" t="s">
        <v>18</v>
      </c>
      <c r="F14" s="77"/>
      <c r="G14" s="78" t="s">
        <v>19</v>
      </c>
      <c r="H14" s="79"/>
      <c r="I14" s="79"/>
      <c r="J14" s="79"/>
      <c r="K14" s="79"/>
      <c r="L14" s="79"/>
      <c r="M14" s="79"/>
      <c r="N14" s="79"/>
      <c r="O14" s="79"/>
      <c r="P14" s="80"/>
      <c r="Q14" s="78" t="s">
        <v>20</v>
      </c>
      <c r="R14" s="81"/>
      <c r="S14" s="81"/>
      <c r="T14" s="81"/>
      <c r="U14" s="81"/>
      <c r="V14" s="82"/>
      <c r="W14" s="82"/>
      <c r="X14" s="82"/>
      <c r="Y14" s="82"/>
      <c r="Z14" s="82"/>
      <c r="AA14" s="83"/>
      <c r="AB14" s="83"/>
      <c r="AC14" s="83"/>
      <c r="AD14" s="83"/>
      <c r="AE14" s="83"/>
      <c r="AF14" s="83"/>
      <c r="AG14" s="83"/>
      <c r="AH14" s="83"/>
      <c r="AI14" s="84"/>
    </row>
    <row r="15" spans="1:35" x14ac:dyDescent="0.25">
      <c r="B15" s="73" t="s">
        <v>21</v>
      </c>
      <c r="C15" s="74"/>
      <c r="D15" s="75"/>
      <c r="E15" s="76" t="s">
        <v>22</v>
      </c>
      <c r="F15" s="77"/>
      <c r="G15" s="78" t="s">
        <v>23</v>
      </c>
      <c r="H15" s="79"/>
      <c r="I15" s="79"/>
      <c r="J15" s="79"/>
      <c r="K15" s="79"/>
      <c r="L15" s="79"/>
      <c r="M15" s="79"/>
      <c r="N15" s="79"/>
      <c r="O15" s="79"/>
      <c r="P15" s="80"/>
      <c r="Q15" s="78" t="s">
        <v>1</v>
      </c>
      <c r="R15" s="81"/>
      <c r="S15" s="81"/>
      <c r="T15" s="81"/>
      <c r="U15" s="81"/>
      <c r="V15" s="82"/>
      <c r="W15" s="82"/>
      <c r="X15" s="82"/>
      <c r="Y15" s="82"/>
      <c r="Z15" s="82"/>
      <c r="AA15" s="83"/>
      <c r="AB15" s="83"/>
      <c r="AC15" s="83"/>
      <c r="AD15" s="83"/>
      <c r="AE15" s="83"/>
      <c r="AF15" s="83"/>
      <c r="AG15" s="83"/>
      <c r="AH15" s="83"/>
      <c r="AI15" s="84"/>
    </row>
    <row r="16" spans="1:35" x14ac:dyDescent="0.25">
      <c r="B16" s="73" t="s">
        <v>24</v>
      </c>
      <c r="C16" s="74"/>
      <c r="D16" s="75"/>
      <c r="E16" s="76">
        <v>0.8</v>
      </c>
      <c r="F16" s="77"/>
      <c r="G16" s="78" t="s">
        <v>25</v>
      </c>
      <c r="H16" s="79"/>
      <c r="I16" s="79"/>
      <c r="J16" s="79"/>
      <c r="K16" s="79"/>
      <c r="L16" s="79"/>
      <c r="M16" s="79"/>
      <c r="N16" s="79"/>
      <c r="O16" s="79"/>
      <c r="P16" s="80"/>
      <c r="Q16" s="78" t="s">
        <v>57</v>
      </c>
      <c r="R16" s="81"/>
      <c r="S16" s="81"/>
      <c r="T16" s="81"/>
      <c r="U16" s="81"/>
      <c r="V16" s="82"/>
      <c r="W16" s="82"/>
      <c r="X16" s="82"/>
      <c r="Y16" s="82"/>
      <c r="Z16" s="82"/>
      <c r="AA16" s="83"/>
      <c r="AB16" s="83"/>
      <c r="AC16" s="83"/>
      <c r="AD16" s="83"/>
      <c r="AE16" s="83"/>
      <c r="AF16" s="83"/>
      <c r="AG16" s="83"/>
      <c r="AH16" s="83"/>
      <c r="AI16" s="84"/>
    </row>
    <row r="17" spans="2:35" x14ac:dyDescent="0.25">
      <c r="B17" s="73" t="s">
        <v>26</v>
      </c>
      <c r="C17" s="74"/>
      <c r="D17" s="75"/>
      <c r="E17" s="76">
        <v>0.11</v>
      </c>
      <c r="F17" s="77"/>
      <c r="G17" s="78" t="s">
        <v>27</v>
      </c>
      <c r="H17" s="79"/>
      <c r="I17" s="79"/>
      <c r="J17" s="79"/>
      <c r="K17" s="79"/>
      <c r="L17" s="79"/>
      <c r="M17" s="79"/>
      <c r="N17" s="79"/>
      <c r="O17" s="79"/>
      <c r="P17" s="80"/>
      <c r="Q17" s="78" t="s">
        <v>1</v>
      </c>
      <c r="R17" s="81"/>
      <c r="S17" s="81"/>
      <c r="T17" s="81"/>
      <c r="U17" s="81"/>
      <c r="V17" s="82"/>
      <c r="W17" s="82"/>
      <c r="X17" s="82"/>
      <c r="Y17" s="82"/>
      <c r="Z17" s="82"/>
      <c r="AA17" s="83"/>
      <c r="AB17" s="83"/>
      <c r="AC17" s="83"/>
      <c r="AD17" s="83"/>
      <c r="AE17" s="83"/>
      <c r="AF17" s="83"/>
      <c r="AG17" s="83"/>
      <c r="AH17" s="83"/>
      <c r="AI17" s="84"/>
    </row>
    <row r="19" spans="2:35" x14ac:dyDescent="0.25">
      <c r="C19" s="2" t="s">
        <v>61</v>
      </c>
      <c r="D19" s="2" t="s">
        <v>0</v>
      </c>
      <c r="E19" s="2" t="s">
        <v>62</v>
      </c>
      <c r="L19" s="2" t="s">
        <v>63</v>
      </c>
    </row>
    <row r="20" spans="2:35" s="10" customFormat="1" ht="25.5" x14ac:dyDescent="0.25">
      <c r="B20" s="99" t="s">
        <v>0</v>
      </c>
      <c r="C20" s="6" t="s">
        <v>28</v>
      </c>
      <c r="D20" s="6" t="s">
        <v>29</v>
      </c>
      <c r="E20" s="7" t="s">
        <v>30</v>
      </c>
      <c r="F20" s="7" t="s">
        <v>31</v>
      </c>
      <c r="G20" s="8" t="s">
        <v>32</v>
      </c>
      <c r="H20" s="9" t="s">
        <v>33</v>
      </c>
      <c r="I20" s="9" t="s">
        <v>34</v>
      </c>
      <c r="J20" s="9" t="s">
        <v>35</v>
      </c>
    </row>
    <row r="21" spans="2:35" s="14" customFormat="1" ht="18" customHeight="1" thickBot="1" x14ac:dyDescent="0.3">
      <c r="B21" s="100"/>
      <c r="C21" s="49" t="s">
        <v>36</v>
      </c>
      <c r="D21" s="11" t="s">
        <v>37</v>
      </c>
      <c r="E21" s="12" t="s">
        <v>38</v>
      </c>
      <c r="F21" s="12" t="s">
        <v>38</v>
      </c>
      <c r="G21" s="50" t="s">
        <v>38</v>
      </c>
      <c r="H21" s="13" t="s">
        <v>38</v>
      </c>
      <c r="I21" s="13" t="s">
        <v>39</v>
      </c>
      <c r="J21" s="13" t="s">
        <v>40</v>
      </c>
      <c r="K21" s="14" t="s">
        <v>59</v>
      </c>
      <c r="L21" s="14" t="s">
        <v>60</v>
      </c>
    </row>
    <row r="22" spans="2:35" ht="15.75" thickTop="1" x14ac:dyDescent="0.25">
      <c r="B22" s="45">
        <v>1</v>
      </c>
      <c r="C22" s="51">
        <v>0.19</v>
      </c>
      <c r="D22" s="47">
        <v>4</v>
      </c>
      <c r="E22" s="15">
        <v>0.37144440817938335</v>
      </c>
      <c r="F22" s="46">
        <v>6.699906321965831E-3</v>
      </c>
      <c r="G22" s="54">
        <v>0.43235264746998181</v>
      </c>
      <c r="H22" s="48">
        <v>0.45364177081382884</v>
      </c>
      <c r="I22" s="16">
        <v>4.9240182680563162E-2</v>
      </c>
      <c r="J22" s="16">
        <f>ABS(I22)</f>
        <v>4.9240182680563162E-2</v>
      </c>
      <c r="K22" s="27">
        <f>G22-E22</f>
        <v>6.0908239290598465E-2</v>
      </c>
      <c r="L22" s="2">
        <f>K22/(C22*30)</f>
        <v>1.0685656015894468E-2</v>
      </c>
    </row>
    <row r="23" spans="2:35" x14ac:dyDescent="0.25">
      <c r="B23" s="45">
        <v>2</v>
      </c>
      <c r="C23" s="52">
        <v>0.54</v>
      </c>
      <c r="D23" s="47">
        <v>6</v>
      </c>
      <c r="E23" s="15">
        <v>0.42298200546483028</v>
      </c>
      <c r="F23" s="46">
        <v>8.0200493634458737E-3</v>
      </c>
      <c r="G23" s="55">
        <v>0.49589154513252004</v>
      </c>
      <c r="H23" s="48">
        <v>0.49414347386821889</v>
      </c>
      <c r="I23" s="16">
        <v>-3.525108023033558E-3</v>
      </c>
      <c r="J23" s="16">
        <f t="shared" ref="J23:J32" si="0">ABS(I23)</f>
        <v>3.525108023033558E-3</v>
      </c>
      <c r="K23" s="27">
        <f t="shared" ref="K23:K32" si="1">G23-E23</f>
        <v>7.290953966768976E-2</v>
      </c>
      <c r="L23" s="2">
        <f t="shared" ref="L23:L32" si="2">K23/(C23*30)</f>
        <v>4.5005888683759101E-3</v>
      </c>
    </row>
    <row r="24" spans="2:35" x14ac:dyDescent="0.25">
      <c r="B24" s="45">
        <v>3</v>
      </c>
      <c r="C24" s="52">
        <v>1.1299999999999999</v>
      </c>
      <c r="D24" s="47">
        <v>8</v>
      </c>
      <c r="E24" s="15">
        <v>0.4864921842232483</v>
      </c>
      <c r="F24" s="46">
        <v>1.0245433347655082E-2</v>
      </c>
      <c r="G24" s="55">
        <v>0.57963248738374906</v>
      </c>
      <c r="H24" s="48">
        <v>0.5624177733027621</v>
      </c>
      <c r="I24" s="16">
        <v>-2.9699360294120052E-2</v>
      </c>
      <c r="J24" s="16">
        <f t="shared" si="0"/>
        <v>2.9699360294120052E-2</v>
      </c>
      <c r="K24" s="27">
        <f t="shared" si="1"/>
        <v>9.3140303160500759E-2</v>
      </c>
      <c r="L24" s="2">
        <f t="shared" si="2"/>
        <v>2.7475015681563647E-3</v>
      </c>
    </row>
    <row r="25" spans="2:35" x14ac:dyDescent="0.25">
      <c r="B25" s="45">
        <v>4</v>
      </c>
      <c r="C25" s="52">
        <v>3.25</v>
      </c>
      <c r="D25" s="47">
        <v>12</v>
      </c>
      <c r="E25" s="15">
        <v>0.65085871073589785</v>
      </c>
      <c r="F25" s="46">
        <v>1.8241728341762759E-2</v>
      </c>
      <c r="G25" s="55">
        <v>0.81669260475192285</v>
      </c>
      <c r="H25" s="48">
        <v>0.80774237466078169</v>
      </c>
      <c r="I25" s="16">
        <v>-1.0959117346066652E-2</v>
      </c>
      <c r="J25" s="16">
        <f t="shared" si="0"/>
        <v>1.0959117346066652E-2</v>
      </c>
      <c r="K25" s="27">
        <f t="shared" si="1"/>
        <v>0.165833894016025</v>
      </c>
      <c r="L25" s="2">
        <f t="shared" si="2"/>
        <v>1.7008604514464102E-3</v>
      </c>
    </row>
    <row r="26" spans="2:35" x14ac:dyDescent="0.25">
      <c r="B26" s="45">
        <v>5</v>
      </c>
      <c r="C26" s="52">
        <v>6.86</v>
      </c>
      <c r="D26" s="47">
        <v>16</v>
      </c>
      <c r="E26" s="15">
        <v>0.92924588473802749</v>
      </c>
      <c r="F26" s="46">
        <v>3.1858060855314022E-2</v>
      </c>
      <c r="G26" s="55">
        <v>1.2188646197863366</v>
      </c>
      <c r="H26" s="48">
        <v>1.2254885118789192</v>
      </c>
      <c r="I26" s="16">
        <v>5.4344772873493249E-3</v>
      </c>
      <c r="J26" s="16">
        <f t="shared" si="0"/>
        <v>5.4344772873493249E-3</v>
      </c>
      <c r="K26" s="27">
        <f t="shared" si="1"/>
        <v>0.28961873504830915</v>
      </c>
      <c r="L26" s="2">
        <f t="shared" si="2"/>
        <v>1.4072824832279355E-3</v>
      </c>
    </row>
    <row r="27" spans="2:35" x14ac:dyDescent="0.25">
      <c r="B27" s="45">
        <v>6</v>
      </c>
      <c r="C27" s="52">
        <v>12.26</v>
      </c>
      <c r="D27" s="47">
        <v>20</v>
      </c>
      <c r="E27" s="15">
        <v>1.2538719986243814</v>
      </c>
      <c r="F27" s="46">
        <v>5.2225982066720383E-2</v>
      </c>
      <c r="G27" s="55">
        <v>1.7286536537763848</v>
      </c>
      <c r="H27" s="48">
        <v>1.7300771485378759</v>
      </c>
      <c r="I27" s="16">
        <v>8.2347019507425425E-4</v>
      </c>
      <c r="J27" s="16">
        <f t="shared" si="0"/>
        <v>8.2347019507425425E-4</v>
      </c>
      <c r="K27" s="27">
        <f t="shared" si="1"/>
        <v>0.47478165515200343</v>
      </c>
      <c r="L27" s="2">
        <f t="shared" si="2"/>
        <v>1.2908691004676549E-3</v>
      </c>
    </row>
    <row r="28" spans="2:35" x14ac:dyDescent="0.25">
      <c r="B28" s="45">
        <v>7</v>
      </c>
      <c r="C28" s="52">
        <v>19.690000000000001</v>
      </c>
      <c r="D28" s="47">
        <v>24</v>
      </c>
      <c r="E28" s="15">
        <v>1.6641974654743126</v>
      </c>
      <c r="F28" s="46">
        <v>8.0250732918710946E-2</v>
      </c>
      <c r="G28" s="55">
        <v>2.3937495829171391</v>
      </c>
      <c r="H28" s="48">
        <v>2.3118959039986846</v>
      </c>
      <c r="I28" s="16">
        <v>-3.4194754331279574E-2</v>
      </c>
      <c r="J28" s="16">
        <f t="shared" si="0"/>
        <v>3.4194754331279574E-2</v>
      </c>
      <c r="K28" s="27">
        <f t="shared" si="1"/>
        <v>0.72955211744282655</v>
      </c>
      <c r="L28" s="2">
        <f t="shared" si="2"/>
        <v>1.2350636828217818E-3</v>
      </c>
    </row>
    <row r="29" spans="2:35" x14ac:dyDescent="0.25">
      <c r="B29" s="45">
        <v>8</v>
      </c>
      <c r="C29" s="52">
        <v>35.130000000000003</v>
      </c>
      <c r="D29" s="47">
        <v>30</v>
      </c>
      <c r="E29" s="15">
        <v>2.3292762720636295</v>
      </c>
      <c r="F29" s="46">
        <v>0.13848790023428761</v>
      </c>
      <c r="G29" s="55">
        <v>3.5882571832844259</v>
      </c>
      <c r="H29" s="48">
        <v>3.5209512989266645</v>
      </c>
      <c r="I29" s="16">
        <v>-1.8757263183726027E-2</v>
      </c>
      <c r="J29" s="16">
        <f t="shared" si="0"/>
        <v>1.8757263183726027E-2</v>
      </c>
      <c r="K29" s="27">
        <f t="shared" si="1"/>
        <v>1.2589809112207964</v>
      </c>
      <c r="L29" s="2">
        <f t="shared" si="2"/>
        <v>1.1945923818396397E-3</v>
      </c>
    </row>
    <row r="30" spans="2:35" x14ac:dyDescent="0.25">
      <c r="B30" s="45">
        <v>9</v>
      </c>
      <c r="C30" s="52">
        <v>56.46</v>
      </c>
      <c r="D30" s="47">
        <v>36</v>
      </c>
      <c r="E30" s="15">
        <v>3.1414789897767923</v>
      </c>
      <c r="F30" s="46">
        <v>0.21894118901934265</v>
      </c>
      <c r="G30" s="55">
        <v>5.1318534354071801</v>
      </c>
      <c r="H30" s="48">
        <v>5.1912331366089051</v>
      </c>
      <c r="I30" s="16">
        <v>1.1570810029771159E-2</v>
      </c>
      <c r="J30" s="16">
        <f t="shared" si="0"/>
        <v>1.1570810029771159E-2</v>
      </c>
      <c r="K30" s="27">
        <f t="shared" si="1"/>
        <v>1.9903744456303878</v>
      </c>
      <c r="L30" s="2">
        <f t="shared" si="2"/>
        <v>1.1750941348626686E-3</v>
      </c>
    </row>
    <row r="31" spans="2:35" x14ac:dyDescent="0.25">
      <c r="B31" s="45">
        <v>10</v>
      </c>
      <c r="C31" s="52">
        <v>83.95</v>
      </c>
      <c r="D31" s="47">
        <v>42</v>
      </c>
      <c r="E31" s="15">
        <v>4.1025586851399956</v>
      </c>
      <c r="F31" s="46">
        <v>0.32262899533444639</v>
      </c>
      <c r="G31" s="55">
        <v>7.0355495518167812</v>
      </c>
      <c r="H31" s="48">
        <v>7.3438842251173355</v>
      </c>
      <c r="I31" s="16">
        <v>4.3825243647233419E-2</v>
      </c>
      <c r="J31" s="16">
        <f t="shared" si="0"/>
        <v>4.3825243647233419E-2</v>
      </c>
      <c r="K31" s="27">
        <f t="shared" si="1"/>
        <v>2.9329908666767857</v>
      </c>
      <c r="L31" s="2">
        <f t="shared" si="2"/>
        <v>1.1645784660221504E-3</v>
      </c>
    </row>
    <row r="32" spans="2:35" ht="15.75" thickBot="1" x14ac:dyDescent="0.3">
      <c r="B32" s="45">
        <v>11</v>
      </c>
      <c r="C32" s="53">
        <v>119.16</v>
      </c>
      <c r="D32" s="47">
        <v>48</v>
      </c>
      <c r="E32" s="15">
        <v>5.1824305910221753</v>
      </c>
      <c r="F32" s="46">
        <v>0.43207439638651679</v>
      </c>
      <c r="G32" s="56">
        <v>9.110379649081418</v>
      </c>
      <c r="H32" s="48">
        <v>10.101063011089755</v>
      </c>
      <c r="I32" s="16">
        <v>0.10874226982497108</v>
      </c>
      <c r="J32" s="16">
        <f t="shared" si="0"/>
        <v>0.10874226982497108</v>
      </c>
      <c r="K32" s="27">
        <f t="shared" si="1"/>
        <v>3.9279490580592427</v>
      </c>
      <c r="L32" s="2">
        <f t="shared" si="2"/>
        <v>1.0987884799315327E-3</v>
      </c>
    </row>
    <row r="33" spans="2:11" ht="15.75" thickTop="1" x14ac:dyDescent="0.25">
      <c r="C33" s="33"/>
      <c r="G33" s="33"/>
      <c r="H33" s="2" t="s">
        <v>41</v>
      </c>
      <c r="I33" s="17">
        <f>AVERAGE(I22:I32)</f>
        <v>1.1136440953339684E-2</v>
      </c>
      <c r="J33" s="17">
        <f>AVERAGE(J22:J32)</f>
        <v>2.8797459713017115E-2</v>
      </c>
      <c r="K33" s="27"/>
    </row>
    <row r="34" spans="2:11" x14ac:dyDescent="0.25">
      <c r="H34" s="2" t="s">
        <v>42</v>
      </c>
      <c r="I34" s="17">
        <f>MIN(I22:I32)</f>
        <v>-3.4194754331279574E-2</v>
      </c>
      <c r="J34" s="17">
        <f>MIN(J22:J32)</f>
        <v>8.2347019507425425E-4</v>
      </c>
      <c r="K34" s="27"/>
    </row>
    <row r="35" spans="2:11" x14ac:dyDescent="0.25">
      <c r="H35" s="2" t="s">
        <v>43</v>
      </c>
      <c r="I35" s="17">
        <f>MAX(I22:I32)</f>
        <v>0.10874226982497108</v>
      </c>
      <c r="J35" s="17">
        <f>MAX(J22:J32)</f>
        <v>0.10874226982497108</v>
      </c>
      <c r="K35" s="27"/>
    </row>
    <row r="36" spans="2:11" ht="18" thickBot="1" x14ac:dyDescent="0.3">
      <c r="C36" s="18" t="s">
        <v>44</v>
      </c>
      <c r="D36" s="18" t="s">
        <v>45</v>
      </c>
      <c r="E36" s="32" t="s">
        <v>46</v>
      </c>
      <c r="F36" s="32" t="s">
        <v>47</v>
      </c>
      <c r="G36" s="18" t="s">
        <v>48</v>
      </c>
      <c r="H36" s="18" t="s">
        <v>49</v>
      </c>
      <c r="I36" s="18" t="s">
        <v>50</v>
      </c>
      <c r="J36" s="18" t="s">
        <v>51</v>
      </c>
      <c r="K36" s="18" t="s">
        <v>52</v>
      </c>
    </row>
    <row r="37" spans="2:11" ht="15.75" thickTop="1" x14ac:dyDescent="0.25">
      <c r="B37" s="19" t="s">
        <v>53</v>
      </c>
      <c r="C37" s="20">
        <v>1</v>
      </c>
      <c r="D37" s="28">
        <v>5</v>
      </c>
      <c r="E37" s="34">
        <f>LINEST(G22:G26,C22:C26)</f>
        <v>0.11571915158397154</v>
      </c>
      <c r="F37" s="35">
        <f>INTERCEPT(G22:G26,C22:C26)</f>
        <v>0.43165513201287425</v>
      </c>
      <c r="G37" s="30">
        <f>RSQ(G22:G26,C22:C26)</f>
        <v>0.9978631952197643</v>
      </c>
      <c r="H37" s="21">
        <v>0.1</v>
      </c>
      <c r="I37" s="21">
        <f>H37*$E37+$F37</f>
        <v>0.44322704717127143</v>
      </c>
      <c r="J37" s="21">
        <v>12.26</v>
      </c>
      <c r="K37" s="21">
        <f>J37*$E37+$F37</f>
        <v>1.8503719304323654</v>
      </c>
    </row>
    <row r="38" spans="2:11" ht="15.75" thickBot="1" x14ac:dyDescent="0.3">
      <c r="B38" s="22" t="s">
        <v>54</v>
      </c>
      <c r="C38" s="23">
        <v>5</v>
      </c>
      <c r="D38" s="29">
        <v>9</v>
      </c>
      <c r="E38" s="36">
        <f>LINEST(G26:G30,C26:C30)</f>
        <v>7.8306696562692971E-2</v>
      </c>
      <c r="F38" s="37">
        <f>INTERCEPT(G26:G30,C26:C30)</f>
        <v>0.77003704867926004</v>
      </c>
      <c r="G38" s="31">
        <f>RSQ(G26:G30,C26:C30)</f>
        <v>0.99771400578202407</v>
      </c>
      <c r="H38" s="24">
        <v>3.25</v>
      </c>
      <c r="I38" s="24">
        <f>H38*$E38+$F38</f>
        <v>1.0245338125080121</v>
      </c>
      <c r="J38" s="24">
        <v>119.16</v>
      </c>
      <c r="K38" s="24">
        <f>J38*$E38+$F38</f>
        <v>10.101063011089755</v>
      </c>
    </row>
    <row r="39" spans="2:11" ht="15.75" thickTop="1" x14ac:dyDescent="0.25">
      <c r="B39" s="25"/>
      <c r="C39" s="25"/>
      <c r="D39" s="25"/>
      <c r="E39" s="33"/>
      <c r="F39" s="33"/>
      <c r="G39" s="26"/>
      <c r="H39" s="26"/>
      <c r="I39" s="26"/>
      <c r="J39" s="26"/>
      <c r="K39" s="26"/>
    </row>
    <row r="40" spans="2:11" x14ac:dyDescent="0.25">
      <c r="B40" s="25"/>
      <c r="G40" s="27"/>
      <c r="H40" s="27"/>
      <c r="I40" s="27"/>
      <c r="J40" s="27"/>
      <c r="K40" s="27"/>
    </row>
    <row r="41" spans="2:11" x14ac:dyDescent="0.25">
      <c r="G41" s="27"/>
      <c r="H41" s="27"/>
      <c r="I41" s="27"/>
      <c r="J41" s="27"/>
      <c r="K41" s="27"/>
    </row>
  </sheetData>
  <mergeCells count="39">
    <mergeCell ref="B17:D17"/>
    <mergeCell ref="E17:F17"/>
    <mergeCell ref="G17:P17"/>
    <mergeCell ref="Q17:AI17"/>
    <mergeCell ref="B20:B21"/>
    <mergeCell ref="B15:D15"/>
    <mergeCell ref="E15:F15"/>
    <mergeCell ref="G15:P15"/>
    <mergeCell ref="Q15:AI15"/>
    <mergeCell ref="B16:D16"/>
    <mergeCell ref="E16:F16"/>
    <mergeCell ref="G16:P16"/>
    <mergeCell ref="Q16:AI16"/>
    <mergeCell ref="B13:D13"/>
    <mergeCell ref="E13:F13"/>
    <mergeCell ref="G13:P13"/>
    <mergeCell ref="Q13:AI13"/>
    <mergeCell ref="B14:D14"/>
    <mergeCell ref="E14:F14"/>
    <mergeCell ref="G14:P14"/>
    <mergeCell ref="Q14:AI14"/>
    <mergeCell ref="B11:D11"/>
    <mergeCell ref="E11:F11"/>
    <mergeCell ref="G11:P11"/>
    <mergeCell ref="Q11:AI11"/>
    <mergeCell ref="B12:D12"/>
    <mergeCell ref="E12:F12"/>
    <mergeCell ref="G12:P12"/>
    <mergeCell ref="Q12:AI12"/>
    <mergeCell ref="B10:D10"/>
    <mergeCell ref="E10:F10"/>
    <mergeCell ref="G10:P10"/>
    <mergeCell ref="Q10:AI10"/>
    <mergeCell ref="B5:AI5"/>
    <mergeCell ref="B8:D8"/>
    <mergeCell ref="B9:D9"/>
    <mergeCell ref="E9:F9"/>
    <mergeCell ref="G9:P9"/>
    <mergeCell ref="Q9:AI9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FCNF-Solver Cost Model</vt:lpstr>
      <vt:lpstr>Data Before Annualizing</vt:lpstr>
      <vt:lpstr>SimCCS Pipeline Model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2022-05-09T19:25:19Z</dcterms:modified>
</cp:coreProperties>
</file>